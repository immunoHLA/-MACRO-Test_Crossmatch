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outils_BIOINFO_TECH\"/>
    </mc:Choice>
  </mc:AlternateContent>
  <bookViews>
    <workbookView xWindow="480" yWindow="90" windowWidth="17715" windowHeight="9525" activeTab="1"/>
  </bookViews>
  <sheets>
    <sheet name="Traitement" sheetId="13" r:id="rId1"/>
    <sheet name="SAG classe I" sheetId="2" r:id="rId2"/>
    <sheet name="RESULTATS" sheetId="12" r:id="rId3"/>
    <sheet name="Archive" sheetId="14" r:id="rId4"/>
  </sheets>
  <functionGroups builtInGroupCount="18"/>
  <calcPr calcId="152511"/>
</workbook>
</file>

<file path=xl/calcChain.xml><?xml version="1.0" encoding="utf-8"?>
<calcChain xmlns="http://schemas.openxmlformats.org/spreadsheetml/2006/main">
  <c r="L13" i="13" l="1"/>
  <c r="J13" i="13"/>
  <c r="H13" i="13"/>
  <c r="F13" i="13"/>
  <c r="D13" i="13"/>
  <c r="B13" i="13"/>
  <c r="B10" i="13"/>
  <c r="B15" i="13" l="1"/>
</calcChain>
</file>

<file path=xl/sharedStrings.xml><?xml version="1.0" encoding="utf-8"?>
<sst xmlns="http://schemas.openxmlformats.org/spreadsheetml/2006/main" count="908" uniqueCount="342">
  <si>
    <t xml:space="preserve"> Résultats BI_AFF_BILLES_CLI de ESCUDEY, CLEMENT (M), 01/02/2003 - Page 1 </t>
  </si>
  <si>
    <t>2010735705  201073570501  RougSSang     02/09/20 08:30</t>
  </si>
  <si>
    <t>A*01:01 (A1)</t>
  </si>
  <si>
    <t xml:space="preserve"> 0</t>
  </si>
  <si>
    <t xml:space="preserve"> 21</t>
  </si>
  <si>
    <t>A*02:01 (A2) !</t>
  </si>
  <si>
    <t xml:space="preserve"> 45</t>
  </si>
  <si>
    <t xml:space="preserve"> 343</t>
  </si>
  <si>
    <t>A*02:03 (A2)</t>
  </si>
  <si>
    <t xml:space="preserve"> 37</t>
  </si>
  <si>
    <t xml:space="preserve"> 104</t>
  </si>
  <si>
    <t xml:space="preserve"> 141</t>
  </si>
  <si>
    <t>A*02:06 (A2)</t>
  </si>
  <si>
    <t xml:space="preserve"> 20</t>
  </si>
  <si>
    <t xml:space="preserve"> 217</t>
  </si>
  <si>
    <t>A*03:01 (A3)</t>
  </si>
  <si>
    <t xml:space="preserve"> 1</t>
  </si>
  <si>
    <t>A*11:01 (A11) !</t>
  </si>
  <si>
    <t xml:space="preserve"> 12</t>
  </si>
  <si>
    <t>A*11:02 (A11)</t>
  </si>
  <si>
    <t>A*23:01 (A23)</t>
  </si>
  <si>
    <t>A*24:02 (A24) !</t>
  </si>
  <si>
    <t xml:space="preserve"> 2</t>
  </si>
  <si>
    <t>A*24:03 (A24)</t>
  </si>
  <si>
    <t xml:space="preserve"> 36</t>
  </si>
  <si>
    <t>A*25:01 (A25)</t>
  </si>
  <si>
    <t>A*26:01 (A26)</t>
  </si>
  <si>
    <t>A*29:01 (A29)</t>
  </si>
  <si>
    <t xml:space="preserve"> 7</t>
  </si>
  <si>
    <t xml:space="preserve"> 114</t>
  </si>
  <si>
    <t>A*29:02 (A29) !</t>
  </si>
  <si>
    <t xml:space="preserve"> 74</t>
  </si>
  <si>
    <t xml:space="preserve"> 66</t>
  </si>
  <si>
    <t>A*30:01 (A30)</t>
  </si>
  <si>
    <t xml:space="preserve"> 30</t>
  </si>
  <si>
    <t>A*30:02 (A30)</t>
  </si>
  <si>
    <t>A*31:01 (A31)</t>
  </si>
  <si>
    <t xml:space="preserve"> 46</t>
  </si>
  <si>
    <t>A*32:01 (A32)</t>
  </si>
  <si>
    <t xml:space="preserve"> 28</t>
  </si>
  <si>
    <t xml:space="preserve"> 14</t>
  </si>
  <si>
    <t>A*33:01 (A33)</t>
  </si>
  <si>
    <t xml:space="preserve"> 138</t>
  </si>
  <si>
    <t>A*33:03 (A33)</t>
  </si>
  <si>
    <t>A*34:01 (A34)</t>
  </si>
  <si>
    <t>A*34:02 (A34)</t>
  </si>
  <si>
    <t xml:space="preserve"> 4</t>
  </si>
  <si>
    <t>A*36:01 (A36)</t>
  </si>
  <si>
    <t xml:space="preserve"> 35</t>
  </si>
  <si>
    <t>A*43:01 (A43)</t>
  </si>
  <si>
    <t>A*66:01 (A66) !</t>
  </si>
  <si>
    <t xml:space="preserve"> 212</t>
  </si>
  <si>
    <t>A*66:02 (A66)</t>
  </si>
  <si>
    <t xml:space="preserve"> 92</t>
  </si>
  <si>
    <t>A*68:01 (A68)</t>
  </si>
  <si>
    <t xml:space="preserve"> 6</t>
  </si>
  <si>
    <t xml:space="preserve"> 62</t>
  </si>
  <si>
    <t>A*68:02 (A68)</t>
  </si>
  <si>
    <t>A*69:01 (A69)</t>
  </si>
  <si>
    <t>A*74:01 (A74)</t>
  </si>
  <si>
    <t xml:space="preserve"> 31</t>
  </si>
  <si>
    <t>A*80:01 (A80)</t>
  </si>
  <si>
    <t>B*07:02 (B7)</t>
  </si>
  <si>
    <t xml:space="preserve"> 70</t>
  </si>
  <si>
    <t xml:space="preserve"> 27</t>
  </si>
  <si>
    <t>B*08:01 (B8)</t>
  </si>
  <si>
    <t>B*13:01 (B13)</t>
  </si>
  <si>
    <t>B*13:02 (B13) !</t>
  </si>
  <si>
    <t>B*18:01 (B18)</t>
  </si>
  <si>
    <t>B*27:05 (B27) !</t>
  </si>
  <si>
    <t xml:space="preserve"> 9</t>
  </si>
  <si>
    <t>B*27:08 (B27)</t>
  </si>
  <si>
    <t>B*35:01 (B35)</t>
  </si>
  <si>
    <t>B*37:01 (B37)</t>
  </si>
  <si>
    <t>B*38:01 (B38)</t>
  </si>
  <si>
    <t>B*39:01 (B39)</t>
  </si>
  <si>
    <t>B*41:01 (B41)</t>
  </si>
  <si>
    <t xml:space="preserve"> 29</t>
  </si>
  <si>
    <t>B*42:01 (B42)</t>
  </si>
  <si>
    <t xml:space="preserve"> 48</t>
  </si>
  <si>
    <t>B*44:02 (B44)</t>
  </si>
  <si>
    <t>B*44:03 (B44)</t>
  </si>
  <si>
    <t xml:space="preserve"> 13</t>
  </si>
  <si>
    <t>B*45:01 (B45)</t>
  </si>
  <si>
    <t>B*46:01 (B46)</t>
  </si>
  <si>
    <t>B*47:01 (B47)</t>
  </si>
  <si>
    <t>B*48:01 (B48)</t>
  </si>
  <si>
    <t xml:space="preserve"> 23</t>
  </si>
  <si>
    <t>B*49:01 (B49)</t>
  </si>
  <si>
    <t xml:space="preserve"> 51</t>
  </si>
  <si>
    <t>B*50:01 (B50)</t>
  </si>
  <si>
    <t xml:space="preserve"> 65</t>
  </si>
  <si>
    <t>B*51:01 (B51) !</t>
  </si>
  <si>
    <t>B*51:02 (B51)</t>
  </si>
  <si>
    <t>B*52:01 (B52)</t>
  </si>
  <si>
    <t>B*53:01 (B53)</t>
  </si>
  <si>
    <t>B*54:01 (B54)</t>
  </si>
  <si>
    <t>B*55:01 (B55)</t>
  </si>
  <si>
    <t>B*56:01 (B56)</t>
  </si>
  <si>
    <t>B*57:01 (B57) !</t>
  </si>
  <si>
    <t>B*57:03 (B57)</t>
  </si>
  <si>
    <t>B*58:01 (B58)</t>
  </si>
  <si>
    <t xml:space="preserve"> 3</t>
  </si>
  <si>
    <t>B*59:01 (B59)</t>
  </si>
  <si>
    <t>B*40:01 (B60)</t>
  </si>
  <si>
    <t>B*40:02 (B61) !</t>
  </si>
  <si>
    <t>B*40:06 (B61)</t>
  </si>
  <si>
    <t>B*15:01 (B62)</t>
  </si>
  <si>
    <t>B*15:16 (B63)</t>
  </si>
  <si>
    <t>B*14:01 (B64)</t>
  </si>
  <si>
    <t xml:space="preserve"> 25</t>
  </si>
  <si>
    <t>B*14:02 (B65)</t>
  </si>
  <si>
    <t xml:space="preserve"> 34</t>
  </si>
  <si>
    <t>B*67:01 (B67)</t>
  </si>
  <si>
    <t>B*15:10 (B71)</t>
  </si>
  <si>
    <t xml:space="preserve"> 8</t>
  </si>
  <si>
    <t>B*15:03 (B72)</t>
  </si>
  <si>
    <t>B*73:01 (B73)</t>
  </si>
  <si>
    <t>B*15:02 (B75) !</t>
  </si>
  <si>
    <t>B*15:11 (B75)</t>
  </si>
  <si>
    <t xml:space="preserve"> 49</t>
  </si>
  <si>
    <t>B*15:12 (B76)</t>
  </si>
  <si>
    <t>B*15:13 (B77)</t>
  </si>
  <si>
    <t>B*78:01 (B78)</t>
  </si>
  <si>
    <t>B*81:01 (B81)</t>
  </si>
  <si>
    <t>B*82:01 (B82)</t>
  </si>
  <si>
    <t>Cw*01:02 (Cw1)</t>
  </si>
  <si>
    <t xml:space="preserve"> 26</t>
  </si>
  <si>
    <t>Cw*02:02 (Cw2)</t>
  </si>
  <si>
    <t xml:space="preserve"> 6053</t>
  </si>
  <si>
    <t>Cw*04:01 (Cw4)</t>
  </si>
  <si>
    <t xml:space="preserve"> 63</t>
  </si>
  <si>
    <t>Cw*05:01 (Cw5)</t>
  </si>
  <si>
    <t xml:space="preserve"> 5309</t>
  </si>
  <si>
    <t>Cw*06:02 (Cw6)</t>
  </si>
  <si>
    <t>Cw*07:02 (Cw7)</t>
  </si>
  <si>
    <t>Cw*08:01 (Cw8)</t>
  </si>
  <si>
    <t>Cw*03:03 (Cw9)</t>
  </si>
  <si>
    <t>Cw*03:02 (Cw10)</t>
  </si>
  <si>
    <t>Cw*03:04 (Cw10)</t>
  </si>
  <si>
    <t>Cw*12:03 (Cw12)</t>
  </si>
  <si>
    <t>Cw*14:02 (Cw14)</t>
  </si>
  <si>
    <t>Cw*15:02 (Cw15)</t>
  </si>
  <si>
    <t xml:space="preserve"> 7186</t>
  </si>
  <si>
    <t>Cw*16:01 (Cw16)</t>
  </si>
  <si>
    <t>Cw*17:01 (Cw17)</t>
  </si>
  <si>
    <t xml:space="preserve"> 408</t>
  </si>
  <si>
    <t>Cw*18:02 (Cw18)</t>
  </si>
  <si>
    <t xml:space="preserve"> 338</t>
  </si>
  <si>
    <t xml:space="preserve"> 161</t>
  </si>
  <si>
    <t xml:space="preserve"> Résultats BI_AFF_BILLES_CLI de CARABIN, PHILIPPE (M), 14/07/1948 - Page 1 </t>
  </si>
  <si>
    <t>2010782668  201078266802  RougSSang     14/09/20 08:06</t>
  </si>
  <si>
    <t xml:space="preserve"> 56</t>
  </si>
  <si>
    <t xml:space="preserve"> 17</t>
  </si>
  <si>
    <t xml:space="preserve"> 398</t>
  </si>
  <si>
    <t xml:space="preserve"> 233</t>
  </si>
  <si>
    <t xml:space="preserve"> 327</t>
  </si>
  <si>
    <t xml:space="preserve"> 127</t>
  </si>
  <si>
    <t xml:space="preserve"> 42</t>
  </si>
  <si>
    <t xml:space="preserve"> 364</t>
  </si>
  <si>
    <t xml:space="preserve"> 58</t>
  </si>
  <si>
    <t xml:space="preserve"> 6936</t>
  </si>
  <si>
    <t xml:space="preserve"> 106</t>
  </si>
  <si>
    <t xml:space="preserve"> 53</t>
  </si>
  <si>
    <t xml:space="preserve"> 87</t>
  </si>
  <si>
    <t xml:space="preserve"> 18</t>
  </si>
  <si>
    <t xml:space="preserve"> 11</t>
  </si>
  <si>
    <t xml:space="preserve"> 32</t>
  </si>
  <si>
    <t xml:space="preserve"> 5</t>
  </si>
  <si>
    <t xml:space="preserve"> 39</t>
  </si>
  <si>
    <t xml:space="preserve"> 55</t>
  </si>
  <si>
    <t xml:space="preserve"> 54</t>
  </si>
  <si>
    <t xml:space="preserve"> 85</t>
  </si>
  <si>
    <t xml:space="preserve"> 288</t>
  </si>
  <si>
    <t xml:space="preserve"> 61</t>
  </si>
  <si>
    <t xml:space="preserve"> 645</t>
  </si>
  <si>
    <t xml:space="preserve"> 83</t>
  </si>
  <si>
    <t xml:space="preserve"> 949</t>
  </si>
  <si>
    <t xml:space="preserve"> 1927</t>
  </si>
  <si>
    <t xml:space="preserve"> 72</t>
  </si>
  <si>
    <t xml:space="preserve"> 133</t>
  </si>
  <si>
    <t xml:space="preserve"> 60</t>
  </si>
  <si>
    <t xml:space="preserve"> 52</t>
  </si>
  <si>
    <t xml:space="preserve"> 77</t>
  </si>
  <si>
    <t xml:space="preserve"> 86</t>
  </si>
  <si>
    <t xml:space="preserve"> 174</t>
  </si>
  <si>
    <t xml:space="preserve"> 44</t>
  </si>
  <si>
    <t xml:space="preserve"> 73</t>
  </si>
  <si>
    <t xml:space="preserve"> 124</t>
  </si>
  <si>
    <t xml:space="preserve"> 76</t>
  </si>
  <si>
    <t xml:space="preserve"> 88</t>
  </si>
  <si>
    <t xml:space="preserve"> 202</t>
  </si>
  <si>
    <t xml:space="preserve"> 57</t>
  </si>
  <si>
    <t xml:space="preserve"> 142</t>
  </si>
  <si>
    <t xml:space="preserve"> 930</t>
  </si>
  <si>
    <t xml:space="preserve"> 1355</t>
  </si>
  <si>
    <t xml:space="preserve"> 136</t>
  </si>
  <si>
    <t xml:space="preserve"> 111</t>
  </si>
  <si>
    <t xml:space="preserve"> 163</t>
  </si>
  <si>
    <t xml:space="preserve"> 508</t>
  </si>
  <si>
    <t xml:space="preserve"> 126</t>
  </si>
  <si>
    <t xml:space="preserve"> 197</t>
  </si>
  <si>
    <t xml:space="preserve"> 80</t>
  </si>
  <si>
    <t xml:space="preserve"> 47</t>
  </si>
  <si>
    <t xml:space="preserve"> 98</t>
  </si>
  <si>
    <t xml:space="preserve"> 134</t>
  </si>
  <si>
    <t xml:space="preserve"> 95</t>
  </si>
  <si>
    <t>Date du sérum</t>
  </si>
  <si>
    <t>080-7-1</t>
  </si>
  <si>
    <t xml:space="preserve"> 16</t>
  </si>
  <si>
    <t xml:space="preserve"> 59</t>
  </si>
  <si>
    <t xml:space="preserve"> 22</t>
  </si>
  <si>
    <t xml:space="preserve"> 10</t>
  </si>
  <si>
    <t xml:space="preserve"> 15</t>
  </si>
  <si>
    <t xml:space="preserve"> 19</t>
  </si>
  <si>
    <t xml:space="preserve"> 156</t>
  </si>
  <si>
    <t xml:space="preserve"> 155</t>
  </si>
  <si>
    <t xml:space="preserve"> 68</t>
  </si>
  <si>
    <t xml:space="preserve"> 89</t>
  </si>
  <si>
    <t xml:space="preserve"> 116</t>
  </si>
  <si>
    <t>083-9-5</t>
  </si>
  <si>
    <t xml:space="preserve"> 64</t>
  </si>
  <si>
    <t xml:space="preserve"> 41</t>
  </si>
  <si>
    <t xml:space="preserve"> 75</t>
  </si>
  <si>
    <t xml:space="preserve"> 100</t>
  </si>
  <si>
    <t xml:space="preserve"> 107</t>
  </si>
  <si>
    <t>082-3-4</t>
  </si>
  <si>
    <t xml:space="preserve"> Résultats BI_AFF_BILLES_CLI de DOTTOR, GERMAINE (F), 22/03/1956 - Page 1 </t>
  </si>
  <si>
    <t>2010128478  201012847804  RougSSang     12/02/20 16:00</t>
  </si>
  <si>
    <t xml:space="preserve"> 110</t>
  </si>
  <si>
    <t xml:space="preserve"> 228</t>
  </si>
  <si>
    <t xml:space="preserve"> 468</t>
  </si>
  <si>
    <t xml:space="preserve"> 105</t>
  </si>
  <si>
    <t xml:space="preserve"> 50</t>
  </si>
  <si>
    <t xml:space="preserve"> 2539</t>
  </si>
  <si>
    <t xml:space="preserve"> 191</t>
  </si>
  <si>
    <t xml:space="preserve"> 993</t>
  </si>
  <si>
    <t xml:space="preserve"> 805</t>
  </si>
  <si>
    <t xml:space="preserve"> 1973</t>
  </si>
  <si>
    <t>048-4-8</t>
  </si>
  <si>
    <t xml:space="preserve"> Résultats BI_AFF_BILLES_CLI de FRAISSE, GISELE (F), 04/09/1951 - Page 1 </t>
  </si>
  <si>
    <t>2010427934  201042793401  RougSSang     03/06/20 14:00</t>
  </si>
  <si>
    <t xml:space="preserve"> 69</t>
  </si>
  <si>
    <t xml:space="preserve"> 91</t>
  </si>
  <si>
    <t xml:space="preserve"> 121</t>
  </si>
  <si>
    <t xml:space="preserve"> 43</t>
  </si>
  <si>
    <t xml:space="preserve"> 132</t>
  </si>
  <si>
    <t xml:space="preserve"> 258</t>
  </si>
  <si>
    <t xml:space="preserve"> 188</t>
  </si>
  <si>
    <t xml:space="preserve"> 90</t>
  </si>
  <si>
    <t xml:space="preserve"> 97</t>
  </si>
  <si>
    <t xml:space="preserve"> 115</t>
  </si>
  <si>
    <t xml:space="preserve"> 432</t>
  </si>
  <si>
    <t xml:space="preserve"> 162</t>
  </si>
  <si>
    <t xml:space="preserve"> 71</t>
  </si>
  <si>
    <t xml:space="preserve"> 82</t>
  </si>
  <si>
    <t xml:space="preserve"> 137</t>
  </si>
  <si>
    <t xml:space="preserve"> 173</t>
  </si>
  <si>
    <t xml:space="preserve"> 205</t>
  </si>
  <si>
    <t xml:space="preserve"> 2387</t>
  </si>
  <si>
    <t xml:space="preserve"> 603</t>
  </si>
  <si>
    <t xml:space="preserve"> 1403</t>
  </si>
  <si>
    <t xml:space="preserve"> 6051</t>
  </si>
  <si>
    <t xml:space="preserve"> 341</t>
  </si>
  <si>
    <t xml:space="preserve"> 314</t>
  </si>
  <si>
    <t xml:space="preserve"> 172</t>
  </si>
  <si>
    <t xml:space="preserve"> 273</t>
  </si>
  <si>
    <t xml:space="preserve"> 224</t>
  </si>
  <si>
    <t xml:space="preserve"> 234</t>
  </si>
  <si>
    <t xml:space="preserve"> 354</t>
  </si>
  <si>
    <t xml:space="preserve"> 279</t>
  </si>
  <si>
    <t xml:space="preserve"> 2269</t>
  </si>
  <si>
    <t xml:space="preserve"> 192</t>
  </si>
  <si>
    <t xml:space="preserve"> 324</t>
  </si>
  <si>
    <t xml:space="preserve"> 239</t>
  </si>
  <si>
    <t>062-10-4</t>
  </si>
  <si>
    <t xml:space="preserve"> Résultats BI_AFF_BILLES_CLI de GUARIDO, HUGO (M), 14/01/2005 - Page 1 </t>
  </si>
  <si>
    <t>2110457617  211045761701  RougSSang     04/05/21 07:40</t>
  </si>
  <si>
    <t xml:space="preserve"> 238</t>
  </si>
  <si>
    <t xml:space="preserve"> 453</t>
  </si>
  <si>
    <t xml:space="preserve"> 932</t>
  </si>
  <si>
    <t xml:space="preserve"> 800</t>
  </si>
  <si>
    <t xml:space="preserve"> 306</t>
  </si>
  <si>
    <t>0126-10-3</t>
  </si>
  <si>
    <t>CROSSMATCH TESTS - RESULTATS</t>
  </si>
  <si>
    <t>IGSE 0158-3-6</t>
  </si>
  <si>
    <t xml:space="preserve"> Résultats BI_AFF_BILLES_CLI de DUCASTELLE, BEATRICE (F), 18/07/1954 - Page 1 </t>
  </si>
  <si>
    <t>2111213551  211121355103  RougSSang     01/12/21 06:45</t>
  </si>
  <si>
    <t xml:space="preserve"> 181</t>
  </si>
  <si>
    <t xml:space="preserve"> 12570</t>
  </si>
  <si>
    <t xml:space="preserve"> 2765</t>
  </si>
  <si>
    <t xml:space="preserve"> 14893</t>
  </si>
  <si>
    <t xml:space="preserve"> 10176</t>
  </si>
  <si>
    <t xml:space="preserve"> 14568</t>
  </si>
  <si>
    <t xml:space="preserve"> 9627</t>
  </si>
  <si>
    <t xml:space="preserve"> 11306</t>
  </si>
  <si>
    <t>IGSE0122 8-7</t>
  </si>
  <si>
    <t>Sérum S5 XM NICOLEAU EFG 199615, négatif sur LyT et B (proche seuil mais nég)</t>
  </si>
  <si>
    <t>GINDRE NINO</t>
  </si>
  <si>
    <t>lemgahri</t>
  </si>
  <si>
    <t>A</t>
  </si>
  <si>
    <t>B</t>
  </si>
  <si>
    <t>C</t>
  </si>
  <si>
    <t xml:space="preserve">Patient x </t>
  </si>
  <si>
    <t>Anticorps</t>
  </si>
  <si>
    <t>MFI</t>
  </si>
  <si>
    <t>Position</t>
  </si>
  <si>
    <t>Nom du donneur</t>
  </si>
  <si>
    <t>XM T</t>
  </si>
  <si>
    <t>XM B</t>
  </si>
  <si>
    <t>Nom du donneur :</t>
  </si>
  <si>
    <t xml:space="preserve">Procédure </t>
  </si>
  <si>
    <t>Outil de test des sérums pour Crossmatch</t>
  </si>
  <si>
    <t>Patient</t>
  </si>
  <si>
    <t>Analyse / Date</t>
  </si>
  <si>
    <t>Date du test</t>
  </si>
  <si>
    <t>Mode d'emploi du fichier</t>
  </si>
  <si>
    <t>Traitement</t>
  </si>
  <si>
    <r>
      <t>1 )  Remplissez</t>
    </r>
    <r>
      <rPr>
        <b/>
        <sz val="12"/>
        <color theme="1"/>
        <rFont val="Calibri"/>
        <family val="2"/>
        <scheme val="minor"/>
      </rPr>
      <t xml:space="preserve"> tous les champs</t>
    </r>
    <r>
      <rPr>
        <sz val="12"/>
        <color theme="1"/>
        <rFont val="Calibri"/>
        <family val="2"/>
        <scheme val="minor"/>
      </rPr>
      <t xml:space="preserve"> sur la page "</t>
    </r>
    <r>
      <rPr>
        <i/>
        <sz val="12"/>
        <color theme="1"/>
        <rFont val="Calibri"/>
        <family val="2"/>
        <scheme val="minor"/>
      </rPr>
      <t>Traitement</t>
    </r>
    <r>
      <rPr>
        <sz val="12"/>
        <color theme="1"/>
        <rFont val="Calibri"/>
        <family val="2"/>
        <scheme val="minor"/>
      </rPr>
      <t>"</t>
    </r>
  </si>
  <si>
    <r>
      <t>2 ) Dans l'onglet "</t>
    </r>
    <r>
      <rPr>
        <i/>
        <sz val="12"/>
        <color theme="1"/>
        <rFont val="Calibri"/>
        <family val="2"/>
        <scheme val="minor"/>
      </rPr>
      <t>SAG classe I</t>
    </r>
    <r>
      <rPr>
        <sz val="12"/>
        <color theme="1"/>
        <rFont val="Calibri"/>
        <family val="2"/>
        <scheme val="minor"/>
      </rPr>
      <t xml:space="preserve">",  collez vos sérums en </t>
    </r>
    <r>
      <rPr>
        <b/>
        <sz val="12"/>
        <color theme="1"/>
        <rFont val="Calibri"/>
        <family val="2"/>
        <scheme val="minor"/>
      </rPr>
      <t>respectant les entêtes</t>
    </r>
    <r>
      <rPr>
        <sz val="12"/>
        <color theme="1"/>
        <rFont val="Calibri"/>
        <family val="2"/>
        <scheme val="minor"/>
      </rPr>
      <t xml:space="preserve"> définis en première colonne</t>
    </r>
  </si>
  <si>
    <r>
      <t>3 ) Après lancement de la Macro, mes résultats s'actualisent dans l'onglet "</t>
    </r>
    <r>
      <rPr>
        <i/>
        <sz val="12"/>
        <color theme="1"/>
        <rFont val="Calibri"/>
        <family val="2"/>
        <scheme val="minor"/>
      </rPr>
      <t>Traitement</t>
    </r>
    <r>
      <rPr>
        <sz val="12"/>
        <color theme="1"/>
        <rFont val="Calibri"/>
        <family val="2"/>
        <scheme val="minor"/>
      </rPr>
      <t xml:space="preserve">" et </t>
    </r>
  </si>
  <si>
    <r>
      <t>s'incrémentent dans l'onglet "</t>
    </r>
    <r>
      <rPr>
        <i/>
        <sz val="11"/>
        <color theme="1"/>
        <rFont val="Calibri"/>
        <family val="2"/>
        <scheme val="minor"/>
      </rPr>
      <t>RESULTATS</t>
    </r>
    <r>
      <rPr>
        <sz val="11"/>
        <color theme="1"/>
        <rFont val="Calibri"/>
        <family val="2"/>
        <scheme val="minor"/>
      </rPr>
      <t>"</t>
    </r>
  </si>
  <si>
    <r>
      <t>Veuillez remplir les champs ci-dessous puis lancez la macro disponible dans l'onglet "</t>
    </r>
    <r>
      <rPr>
        <i/>
        <sz val="14"/>
        <color theme="1"/>
        <rFont val="Calibri"/>
        <family val="2"/>
        <scheme val="minor"/>
      </rPr>
      <t>MACROS</t>
    </r>
    <r>
      <rPr>
        <sz val="14"/>
        <color theme="1"/>
        <rFont val="Calibri"/>
        <family val="2"/>
        <scheme val="minor"/>
      </rPr>
      <t>" puis "</t>
    </r>
    <r>
      <rPr>
        <i/>
        <sz val="14"/>
        <color theme="1"/>
        <rFont val="Calibri"/>
        <family val="2"/>
        <scheme val="minor"/>
      </rPr>
      <t>Test Crossmatch</t>
    </r>
    <r>
      <rPr>
        <sz val="14"/>
        <color theme="1"/>
        <rFont val="Calibri"/>
        <family val="2"/>
        <scheme val="minor"/>
      </rPr>
      <t>"</t>
    </r>
  </si>
  <si>
    <r>
      <t>4 ) Pensez à complétez manuellement les colonnes XM T et XM B dans l'onglet "</t>
    </r>
    <r>
      <rPr>
        <i/>
        <sz val="11"/>
        <color theme="1"/>
        <rFont val="Calibri"/>
        <family val="2"/>
        <scheme val="minor"/>
      </rPr>
      <t>RESULTATS</t>
    </r>
    <r>
      <rPr>
        <sz val="11"/>
        <color theme="1"/>
        <rFont val="Calibri"/>
        <family val="2"/>
        <scheme val="minor"/>
      </rPr>
      <t>"</t>
    </r>
  </si>
  <si>
    <t xml:space="preserve">La macro détecte les sérums dont au moins un allèle C du donneur possède une mfi supérieure à 1000 mais </t>
  </si>
  <si>
    <t>sans que les alleles A et B ne le soient également.</t>
  </si>
  <si>
    <t>Basé sur l'extraction depuis GLIMS.</t>
  </si>
  <si>
    <t>Typage sérologique Classe I</t>
  </si>
  <si>
    <t>DUCASTELLE  BEATRICE</t>
  </si>
  <si>
    <t>Cw4</t>
  </si>
  <si>
    <t>Cw1</t>
  </si>
  <si>
    <t>Cw12</t>
  </si>
  <si>
    <t>ESCUDEY  CLEMENT</t>
  </si>
  <si>
    <t>Cw5</t>
  </si>
  <si>
    <t>FRAISSE  GISELE</t>
  </si>
  <si>
    <t>Cw6</t>
  </si>
  <si>
    <t>Désolée mais le 201952 n'a pas de Cw6 ! Il est Cw7, 12 =&gt; à revoir MC il s'agit du donneur 202099</t>
  </si>
  <si>
    <t>discordance entre les 2 sérums ?? MC</t>
  </si>
  <si>
    <t>Cw15</t>
  </si>
  <si>
    <t>Résultats du dernier traitement ( 02/08/2022 )</t>
  </si>
  <si>
    <t>Cw2</t>
  </si>
  <si>
    <t>DOTTOR  GERMAINE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</si>
</sst>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sz val="8"/>
      <color rgb="FF000000"/>
      <name val="Times New Roman"/>
      <family val="1"/>
    </font>
    <font>
      <sz val="8"/>
      <color rgb="FFFFFFFF"/>
      <name val="Times New Roman"/>
      <family val="1"/>
    </font>
    <font>
      <b/>
      <sz val="14"/>
      <color theme="1"/>
      <name val="Calibri"/>
      <family val="2"/>
      <scheme val="minor"/>
    </font>
    <font>
      <b/>
      <sz val="8"/>
      <name val="Arial"/>
      <family val="2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36"/>
      <color theme="5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FFF9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medium">
        <color theme="8"/>
      </top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4" fillId="0" borderId="0"/>
  </cellStyleXfs>
  <cellXfs count="86">
    <xf numFmtId="0" fontId="0" fillId="0" borderId="0" xfId="0"/>
    <xf numFmtId="49" fontId="6" fillId="0" borderId="2" xfId="0" applyNumberFormat="1" applyFont="1" applyBorder="1" applyAlignment="1">
      <alignment horizontal="left" vertical="top" wrapText="1"/>
    </xf>
    <xf numFmtId="49" fontId="7" fillId="4" borderId="3" xfId="0" applyNumberFormat="1" applyFont="1" applyFill="1" applyBorder="1" applyAlignment="1">
      <alignment horizontal="left" vertical="top" wrapText="1"/>
    </xf>
    <xf numFmtId="49" fontId="8" fillId="5" borderId="3" xfId="0" applyNumberFormat="1" applyFont="1" applyFill="1" applyBorder="1" applyAlignment="1">
      <alignment horizontal="left" vertical="top" wrapText="1"/>
    </xf>
    <xf numFmtId="49" fontId="6" fillId="0" borderId="4" xfId="0" applyNumberFormat="1" applyFont="1" applyBorder="1" applyAlignment="1">
      <alignment horizontal="left" vertical="top" wrapText="1"/>
    </xf>
    <xf numFmtId="49" fontId="7" fillId="4" borderId="5" xfId="0" applyNumberFormat="1" applyFont="1" applyFill="1" applyBorder="1" applyAlignment="1">
      <alignment horizontal="left" vertical="top" wrapText="1"/>
    </xf>
    <xf numFmtId="49" fontId="7" fillId="7" borderId="3" xfId="0" applyNumberFormat="1" applyFont="1" applyFill="1" applyBorder="1" applyAlignment="1">
      <alignment horizontal="left" vertical="top" wrapText="1"/>
    </xf>
    <xf numFmtId="49" fontId="7" fillId="8" borderId="3" xfId="0" applyNumberFormat="1" applyFont="1" applyFill="1" applyBorder="1" applyAlignment="1">
      <alignment horizontal="left" vertical="top" wrapText="1"/>
    </xf>
    <xf numFmtId="1" fontId="2" fillId="0" borderId="0" xfId="0" applyNumberFormat="1" applyFont="1" applyFill="1" applyBorder="1" applyAlignment="1">
      <alignment horizontal="center"/>
    </xf>
    <xf numFmtId="49" fontId="6" fillId="8" borderId="2" xfId="0" applyNumberFormat="1" applyFont="1" applyFill="1" applyBorder="1" applyAlignment="1">
      <alignment horizontal="left" vertical="top" wrapText="1"/>
    </xf>
    <xf numFmtId="49" fontId="8" fillId="5" borderId="5" xfId="0" applyNumberFormat="1" applyFont="1" applyFill="1" applyBorder="1" applyAlignment="1">
      <alignment horizontal="left" vertical="top" wrapText="1"/>
    </xf>
    <xf numFmtId="49" fontId="6" fillId="2" borderId="2" xfId="0" applyNumberFormat="1" applyFont="1" applyFill="1" applyBorder="1" applyAlignment="1">
      <alignment horizontal="left" vertical="top" wrapText="1"/>
    </xf>
    <xf numFmtId="0" fontId="0" fillId="9" borderId="0" xfId="0" applyFill="1"/>
    <xf numFmtId="0" fontId="11" fillId="9" borderId="0" xfId="0" applyFont="1" applyFill="1"/>
    <xf numFmtId="0" fontId="12" fillId="9" borderId="0" xfId="0" applyFont="1" applyFill="1"/>
    <xf numFmtId="0" fontId="13" fillId="9" borderId="0" xfId="0" applyFont="1" applyFill="1"/>
    <xf numFmtId="0" fontId="12" fillId="0" borderId="0" xfId="0" applyFont="1" applyFill="1"/>
    <xf numFmtId="0" fontId="0" fillId="0" borderId="0" xfId="0" applyFill="1"/>
    <xf numFmtId="0" fontId="11" fillId="0" borderId="1" xfId="0" applyFont="1" applyBorder="1" applyAlignment="1">
      <alignment horizontal="center"/>
    </xf>
    <xf numFmtId="0" fontId="9" fillId="9" borderId="0" xfId="0" applyFont="1" applyFill="1"/>
    <xf numFmtId="0" fontId="14" fillId="9" borderId="0" xfId="0" applyFont="1" applyFill="1" applyAlignment="1">
      <alignment horizontal="right"/>
    </xf>
    <xf numFmtId="0" fontId="15" fillId="0" borderId="6" xfId="0" applyFont="1" applyFill="1" applyBorder="1" applyAlignment="1">
      <alignment horizontal="left"/>
    </xf>
    <xf numFmtId="0" fontId="16" fillId="9" borderId="0" xfId="0" applyFont="1" applyFill="1"/>
    <xf numFmtId="0" fontId="17" fillId="9" borderId="0" xfId="0" applyFont="1" applyFill="1"/>
    <xf numFmtId="22" fontId="0" fillId="9" borderId="0" xfId="0" applyNumberFormat="1" applyFill="1"/>
    <xf numFmtId="0" fontId="0" fillId="0" borderId="11" xfId="0" applyFont="1" applyFill="1" applyBorder="1"/>
    <xf numFmtId="0" fontId="0" fillId="0" borderId="0" xfId="0" applyFont="1"/>
    <xf numFmtId="0" fontId="0" fillId="0" borderId="0" xfId="0" applyFont="1" applyFill="1" applyBorder="1"/>
    <xf numFmtId="14" fontId="0" fillId="0" borderId="0" xfId="0" applyNumberFormat="1"/>
    <xf numFmtId="49" fontId="6" fillId="0" borderId="12" xfId="0" applyNumberFormat="1" applyFont="1" applyBorder="1" applyAlignment="1">
      <alignment horizontal="left" vertical="top" wrapText="1"/>
    </xf>
    <xf numFmtId="49" fontId="7" fillId="4" borderId="13" xfId="0" applyNumberFormat="1" applyFont="1" applyFill="1" applyBorder="1" applyAlignment="1">
      <alignment horizontal="left" vertical="top" wrapText="1"/>
    </xf>
    <xf numFmtId="49" fontId="9" fillId="11" borderId="15" xfId="0" applyNumberFormat="1" applyFont="1" applyFill="1" applyBorder="1" applyAlignment="1">
      <alignment horizontal="right" vertical="center"/>
    </xf>
    <xf numFmtId="0" fontId="9" fillId="11" borderId="15" xfId="0" applyFont="1" applyFill="1" applyBorder="1" applyAlignment="1">
      <alignment horizontal="right" vertical="center"/>
    </xf>
    <xf numFmtId="49" fontId="9" fillId="11" borderId="15" xfId="0" applyNumberFormat="1" applyFont="1" applyFill="1" applyBorder="1" applyAlignment="1">
      <alignment horizontal="right" vertical="center" wrapText="1"/>
    </xf>
    <xf numFmtId="49" fontId="18" fillId="0" borderId="14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5" fillId="3" borderId="14" xfId="0" applyNumberFormat="1" applyFont="1" applyFill="1" applyBorder="1" applyAlignment="1">
      <alignment horizontal="left" vertical="center" wrapText="1"/>
    </xf>
    <xf numFmtId="49" fontId="5" fillId="3" borderId="1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" fontId="10" fillId="0" borderId="1" xfId="0" applyNumberFormat="1" applyFont="1" applyFill="1" applyBorder="1" applyAlignment="1">
      <alignment horizontal="left" vertical="center"/>
    </xf>
    <xf numFmtId="1" fontId="10" fillId="0" borderId="0" xfId="0" applyNumberFormat="1" applyFont="1" applyFill="1" applyBorder="1" applyAlignment="1">
      <alignment horizontal="left" vertical="center"/>
    </xf>
    <xf numFmtId="164" fontId="3" fillId="0" borderId="0" xfId="0" applyNumberFormat="1" applyFont="1" applyFill="1" applyBorder="1" applyAlignment="1">
      <alignment horizontal="left" vertical="center"/>
    </xf>
    <xf numFmtId="0" fontId="1" fillId="0" borderId="11" xfId="1" applyFont="1" applyBorder="1" applyAlignment="1">
      <alignment horizontal="center" vertical="center"/>
    </xf>
    <xf numFmtId="22" fontId="1" fillId="0" borderId="11" xfId="1" applyNumberFormat="1" applyFont="1" applyBorder="1" applyAlignment="1">
      <alignment horizontal="center" vertical="center"/>
    </xf>
    <xf numFmtId="0" fontId="1" fillId="0" borderId="11" xfId="1" applyFont="1" applyFill="1" applyBorder="1" applyAlignment="1">
      <alignment horizontal="center" vertical="center"/>
    </xf>
    <xf numFmtId="0" fontId="1" fillId="0" borderId="0" xfId="1" applyFont="1" applyBorder="1" applyAlignment="1">
      <alignment horizontal="center" vertical="center"/>
    </xf>
    <xf numFmtId="22" fontId="1" fillId="0" borderId="0" xfId="1" applyNumberFormat="1" applyFont="1" applyBorder="1" applyAlignment="1">
      <alignment horizontal="center" vertical="center"/>
    </xf>
    <xf numFmtId="0" fontId="1" fillId="0" borderId="0" xfId="1" applyFont="1" applyFill="1" applyBorder="1" applyAlignment="1">
      <alignment horizontal="center" vertical="center"/>
    </xf>
    <xf numFmtId="1" fontId="1" fillId="0" borderId="0" xfId="1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4" fontId="0" fillId="0" borderId="11" xfId="0" applyNumberFormat="1" applyFont="1" applyBorder="1" applyAlignment="1">
      <alignment horizontal="left" vertical="center"/>
    </xf>
    <xf numFmtId="0" fontId="0" fillId="12" borderId="0" xfId="0" applyFill="1"/>
    <xf numFmtId="0" fontId="18" fillId="12" borderId="0" xfId="0" applyFont="1" applyFill="1"/>
    <xf numFmtId="0" fontId="18" fillId="12" borderId="0" xfId="0" applyFont="1" applyFill="1" applyAlignment="1"/>
    <xf numFmtId="0" fontId="19" fillId="12" borderId="0" xfId="0" applyFont="1" applyFill="1"/>
    <xf numFmtId="0" fontId="0" fillId="0" borderId="16" xfId="0" applyBorder="1"/>
    <xf numFmtId="14" fontId="0" fillId="0" borderId="16" xfId="0" applyNumberFormat="1" applyBorder="1"/>
    <xf numFmtId="0" fontId="0" fillId="0" borderId="17" xfId="0" applyBorder="1"/>
    <xf numFmtId="14" fontId="0" fillId="0" borderId="17" xfId="0" applyNumberFormat="1" applyBorder="1"/>
    <xf numFmtId="0" fontId="24" fillId="9" borderId="0" xfId="0" applyFont="1" applyFill="1" applyAlignment="1">
      <alignment vertical="top"/>
    </xf>
    <xf numFmtId="14" fontId="1" fillId="0" borderId="0" xfId="1" applyNumberFormat="1" applyFont="1" applyBorder="1" applyAlignment="1">
      <alignment horizontal="center" vertical="center"/>
    </xf>
    <xf numFmtId="0" fontId="7" fillId="4" borderId="3" xfId="0" applyNumberFormat="1" applyFont="1" applyFill="1" applyBorder="1" applyAlignment="1">
      <alignment horizontal="left" vertical="top" wrapText="1"/>
    </xf>
    <xf numFmtId="0" fontId="7" fillId="8" borderId="3" xfId="0" applyNumberFormat="1" applyFont="1" applyFill="1" applyBorder="1" applyAlignment="1">
      <alignment horizontal="left" vertical="top" wrapText="1"/>
    </xf>
    <xf numFmtId="0" fontId="8" fillId="5" borderId="3" xfId="0" applyNumberFormat="1" applyFont="1" applyFill="1" applyBorder="1" applyAlignment="1">
      <alignment horizontal="left" vertical="top" wrapText="1"/>
    </xf>
    <xf numFmtId="0" fontId="7" fillId="4" borderId="5" xfId="0" applyNumberFormat="1" applyFont="1" applyFill="1" applyBorder="1" applyAlignment="1">
      <alignment horizontal="left" vertical="top" wrapText="1"/>
    </xf>
    <xf numFmtId="0" fontId="25" fillId="0" borderId="0" xfId="0" applyFont="1"/>
    <xf numFmtId="0" fontId="13" fillId="0" borderId="7" xfId="0" applyFont="1" applyFill="1" applyBorder="1" applyAlignment="1">
      <alignment horizontal="left"/>
    </xf>
    <xf numFmtId="0" fontId="13" fillId="0" borderId="8" xfId="0" applyFont="1" applyFill="1" applyBorder="1" applyAlignment="1">
      <alignment horizontal="left"/>
    </xf>
    <xf numFmtId="0" fontId="13" fillId="0" borderId="9" xfId="0" applyFont="1" applyFill="1" applyBorder="1" applyAlignment="1">
      <alignment horizontal="left"/>
    </xf>
    <xf numFmtId="0" fontId="13" fillId="10" borderId="1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9" fillId="6" borderId="0" xfId="0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left" vertical="center" wrapText="1"/>
    </xf>
  </cellXfs>
  <cellStyles count="4">
    <cellStyle name="Normal" xfId="0" builtinId="0"/>
    <cellStyle name="Normal 2" xfId="2"/>
    <cellStyle name="Normal 3" xfId="3"/>
    <cellStyle name="Normal 4" xfId="1"/>
  </cellStyles>
  <dxfs count="108"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  <dxf>
      <font>
        <color indexed="9"/>
      </font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6" tint="0.39997558519241921"/>
  </sheetPr>
  <dimension ref="A1:S34"/>
  <sheetViews>
    <sheetView showGridLines="0" workbookViewId="0">
      <selection activeCell="B10" sqref="B10"/>
    </sheetView>
  </sheetViews>
  <sheetFormatPr baseColWidth="10" defaultRowHeight="15" x14ac:dyDescent="0.25"/>
  <cols>
    <col min="1" max="1" width="24.5703125" customWidth="1"/>
    <col min="2" max="2" width="21.140625" customWidth="1"/>
    <col min="3" max="3" width="14.85546875" bestFit="1" customWidth="1"/>
    <col min="5" max="5" width="18.140625" style="28" customWidth="1"/>
    <col min="6" max="6" width="11.85546875" customWidth="1"/>
  </cols>
  <sheetData>
    <row r="1" spans="1:13" x14ac:dyDescent="0.25">
      <c r="A1" s="24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46.5" x14ac:dyDescent="0.7">
      <c r="A2" s="12"/>
      <c r="B2" s="23" t="s">
        <v>312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</row>
    <row r="3" spans="1:13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</row>
    <row r="4" spans="1:13" x14ac:dyDescent="0.25">
      <c r="A4" s="12"/>
      <c r="B4" s="12"/>
      <c r="C4" s="12"/>
      <c r="D4" s="12"/>
      <c r="E4" s="24"/>
      <c r="F4" s="12"/>
      <c r="G4" s="12"/>
      <c r="H4" s="12"/>
      <c r="I4" s="12"/>
      <c r="J4" s="12"/>
      <c r="K4" s="12"/>
      <c r="L4" s="12"/>
      <c r="M4" s="12"/>
    </row>
    <row r="5" spans="1:13" ht="18.75" x14ac:dyDescent="0.3">
      <c r="A5" s="19" t="s">
        <v>311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</row>
    <row r="6" spans="1:13" ht="18.75" x14ac:dyDescent="0.3">
      <c r="A6" s="13" t="s">
        <v>322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</row>
    <row r="7" spans="1:13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2"/>
    </row>
    <row r="8" spans="1:13" ht="15.75" thickBot="1" x14ac:dyDescent="0.3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2"/>
    </row>
    <row r="9" spans="1:13" ht="21.75" thickBot="1" x14ac:dyDescent="0.4">
      <c r="A9" s="15" t="s">
        <v>310</v>
      </c>
      <c r="B9" s="79">
        <v>202554</v>
      </c>
      <c r="C9" s="80"/>
      <c r="D9" s="81"/>
      <c r="E9" s="15"/>
      <c r="F9" s="15"/>
      <c r="G9" s="15"/>
      <c r="H9" s="15"/>
      <c r="I9" s="15"/>
      <c r="J9" s="15"/>
      <c r="K9" s="15"/>
      <c r="L9" s="14"/>
      <c r="M9" s="12"/>
    </row>
    <row r="10" spans="1:13" ht="21" x14ac:dyDescent="0.35">
      <c r="A10" s="15"/>
      <c r="B10" s="72" t="str">
        <f>IF(B9="","A compléter","")</f>
        <v/>
      </c>
      <c r="C10" s="15"/>
      <c r="D10" s="15"/>
      <c r="E10" s="15"/>
      <c r="F10" s="15"/>
      <c r="G10" s="15"/>
      <c r="H10" s="15"/>
      <c r="I10" s="15"/>
      <c r="J10" s="15"/>
      <c r="K10" s="15"/>
      <c r="L10" s="14"/>
      <c r="M10" s="12"/>
    </row>
    <row r="11" spans="1:13" ht="21.75" thickBot="1" x14ac:dyDescent="0.4">
      <c r="A11" s="83" t="s">
        <v>327</v>
      </c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</row>
    <row r="12" spans="1:13" ht="24" thickBot="1" x14ac:dyDescent="0.4">
      <c r="A12" s="20" t="s">
        <v>300</v>
      </c>
      <c r="B12" s="21">
        <v>3</v>
      </c>
      <c r="C12" s="20" t="s">
        <v>300</v>
      </c>
      <c r="D12" s="21">
        <v>24</v>
      </c>
      <c r="E12" s="20" t="s">
        <v>301</v>
      </c>
      <c r="F12" s="21">
        <v>51</v>
      </c>
      <c r="G12" s="20" t="s">
        <v>301</v>
      </c>
      <c r="H12" s="21">
        <v>62</v>
      </c>
      <c r="I12" s="20" t="s">
        <v>302</v>
      </c>
      <c r="J12" s="21">
        <v>2</v>
      </c>
      <c r="K12" s="20" t="s">
        <v>302</v>
      </c>
      <c r="L12" s="21">
        <v>9</v>
      </c>
      <c r="M12" s="12"/>
    </row>
    <row r="13" spans="1:13" ht="15.75" x14ac:dyDescent="0.25">
      <c r="A13" s="14"/>
      <c r="B13" s="72" t="str">
        <f>IF(B12="","A compléter","")</f>
        <v/>
      </c>
      <c r="C13" s="14"/>
      <c r="D13" s="72" t="str">
        <f>IF(D12="","A compléter","")</f>
        <v/>
      </c>
      <c r="E13" s="14"/>
      <c r="F13" s="72" t="str">
        <f>IF(F12="","A compléter","")</f>
        <v/>
      </c>
      <c r="G13" s="14"/>
      <c r="H13" s="72" t="str">
        <f>IF(H12="","A compléter","")</f>
        <v/>
      </c>
      <c r="I13" s="14"/>
      <c r="J13" s="72" t="str">
        <f>IF(J12="","A compléter","")</f>
        <v/>
      </c>
      <c r="K13" s="14"/>
      <c r="L13" s="72" t="str">
        <f>IF(L12="","A compléter","")</f>
        <v/>
      </c>
      <c r="M13" s="12"/>
    </row>
    <row r="14" spans="1:13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2"/>
    </row>
    <row r="15" spans="1:13" ht="21" x14ac:dyDescent="0.35">
      <c r="A15" s="14"/>
      <c r="B15" s="22" t="str">
        <f>IF(AND(B10="",B13="",D13="",F13="",H13="",J13="",L13=""),"Vous pouvez lancer la macro","")</f>
        <v>Vous pouvez lancer la macro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2"/>
    </row>
    <row r="16" spans="1:13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2"/>
    </row>
    <row r="17" spans="1:19" s="17" customFormat="1" ht="21" x14ac:dyDescent="0.25">
      <c r="A17" s="82" t="s">
        <v>339</v>
      </c>
      <c r="B17" s="82"/>
      <c r="C17" s="82"/>
      <c r="D17" s="82"/>
      <c r="E17" s="82"/>
      <c r="F17" s="82"/>
      <c r="G17" s="16"/>
      <c r="H17" s="16"/>
      <c r="I17" s="16"/>
      <c r="J17" s="16"/>
      <c r="K17" s="16"/>
      <c r="L17" s="16"/>
    </row>
    <row r="18" spans="1:19" ht="18.75" x14ac:dyDescent="0.3">
      <c r="A18" s="18" t="s">
        <v>313</v>
      </c>
      <c r="B18" s="18" t="s">
        <v>307</v>
      </c>
      <c r="C18" s="18" t="s">
        <v>304</v>
      </c>
      <c r="D18" s="18" t="s">
        <v>305</v>
      </c>
      <c r="E18" s="18" t="s">
        <v>207</v>
      </c>
      <c r="F18" s="18" t="s">
        <v>306</v>
      </c>
    </row>
    <row r="19" spans="1:19" x14ac:dyDescent="0.25">
      <c r="A19" s="70" t="s">
        <v>332</v>
      </c>
      <c r="B19" s="70">
        <v>202554</v>
      </c>
      <c r="C19" s="70" t="s">
        <v>340</v>
      </c>
      <c r="D19" s="70">
        <v>6053</v>
      </c>
      <c r="E19" s="71">
        <v>43870</v>
      </c>
      <c r="F19" s="70" t="s">
        <v>208</v>
      </c>
    </row>
    <row r="20" spans="1:19" ht="21" x14ac:dyDescent="0.35">
      <c r="A20" s="68" t="s">
        <v>341</v>
      </c>
      <c r="B20" s="68">
        <v>202554</v>
      </c>
      <c r="C20" s="68" t="s">
        <v>340</v>
      </c>
      <c r="D20" s="68">
        <v>2539</v>
      </c>
      <c r="E20" s="69">
        <v>44167</v>
      </c>
      <c r="F20" s="68" t="s">
        <v>239</v>
      </c>
      <c r="J20" s="67" t="s">
        <v>316</v>
      </c>
      <c r="K20" s="64"/>
      <c r="L20" s="64"/>
      <c r="M20" s="64"/>
      <c r="N20" s="64"/>
      <c r="O20" s="64"/>
      <c r="P20" s="64"/>
      <c r="Q20" s="64"/>
      <c r="R20" s="64"/>
      <c r="S20" s="64"/>
    </row>
    <row r="21" spans="1:19" x14ac:dyDescent="0.25">
      <c r="A21" s="68" t="s">
        <v>328</v>
      </c>
      <c r="B21" s="68">
        <v>202554</v>
      </c>
      <c r="C21" s="68" t="s">
        <v>340</v>
      </c>
      <c r="D21" s="68">
        <v>12570</v>
      </c>
      <c r="E21" s="69">
        <v>44208</v>
      </c>
      <c r="F21" s="68" t="s">
        <v>285</v>
      </c>
      <c r="J21" s="64"/>
      <c r="K21" s="64"/>
      <c r="L21" s="64"/>
      <c r="M21" s="64"/>
      <c r="N21" s="64"/>
      <c r="O21" s="64"/>
      <c r="P21" s="64"/>
      <c r="Q21" s="64"/>
      <c r="R21" s="64"/>
      <c r="S21" s="64"/>
    </row>
    <row r="22" spans="1:19" ht="15.75" x14ac:dyDescent="0.25">
      <c r="A22" s="68" t="s">
        <v>334</v>
      </c>
      <c r="B22" s="68">
        <v>202554</v>
      </c>
      <c r="C22" s="68" t="s">
        <v>340</v>
      </c>
      <c r="D22" s="68">
        <v>1403</v>
      </c>
      <c r="E22" s="69">
        <v>43896</v>
      </c>
      <c r="F22" s="68" t="s">
        <v>275</v>
      </c>
      <c r="J22" s="64"/>
      <c r="K22" s="65" t="s">
        <v>318</v>
      </c>
      <c r="L22" s="64"/>
      <c r="M22" s="64"/>
      <c r="N22" s="64"/>
      <c r="O22" s="64"/>
      <c r="P22" s="64"/>
      <c r="Q22" s="64"/>
      <c r="R22" s="64"/>
      <c r="S22" s="64"/>
    </row>
    <row r="23" spans="1:19" ht="15.75" x14ac:dyDescent="0.25">
      <c r="A23" s="68"/>
      <c r="B23" s="68"/>
      <c r="C23" s="68"/>
      <c r="D23" s="68"/>
      <c r="E23" s="69"/>
      <c r="F23" s="68"/>
      <c r="J23" s="64"/>
      <c r="K23" s="65"/>
      <c r="L23" s="64"/>
      <c r="M23" s="64"/>
      <c r="N23" s="64"/>
      <c r="O23" s="64"/>
      <c r="P23" s="64"/>
      <c r="Q23" s="64"/>
      <c r="R23" s="64"/>
      <c r="S23" s="64"/>
    </row>
    <row r="24" spans="1:19" ht="15.75" x14ac:dyDescent="0.25">
      <c r="A24" s="68"/>
      <c r="B24" s="68"/>
      <c r="C24" s="68"/>
      <c r="D24" s="68"/>
      <c r="E24" s="69"/>
      <c r="F24" s="68"/>
      <c r="J24" s="64"/>
      <c r="K24" s="65" t="s">
        <v>319</v>
      </c>
      <c r="L24" s="64"/>
      <c r="M24" s="64"/>
      <c r="N24" s="64"/>
      <c r="O24" s="64"/>
      <c r="P24" s="64"/>
      <c r="Q24" s="64"/>
      <c r="R24" s="64"/>
      <c r="S24" s="64"/>
    </row>
    <row r="25" spans="1:19" ht="15.75" x14ac:dyDescent="0.25">
      <c r="A25" s="68"/>
      <c r="B25" s="68"/>
      <c r="C25" s="68"/>
      <c r="D25" s="68"/>
      <c r="E25" s="69"/>
      <c r="F25" s="68"/>
      <c r="J25" s="64"/>
      <c r="K25" s="65" t="s">
        <v>326</v>
      </c>
      <c r="L25" s="64"/>
      <c r="M25" s="64"/>
      <c r="N25" s="64"/>
      <c r="O25" s="64"/>
      <c r="P25" s="64"/>
      <c r="Q25" s="64"/>
      <c r="R25" s="64"/>
      <c r="S25" s="64"/>
    </row>
    <row r="26" spans="1:19" ht="15.75" x14ac:dyDescent="0.25">
      <c r="A26" s="68"/>
      <c r="B26" s="68"/>
      <c r="C26" s="68"/>
      <c r="D26" s="68"/>
      <c r="E26" s="69"/>
      <c r="F26" s="68"/>
      <c r="J26" s="64"/>
      <c r="K26" s="65"/>
      <c r="L26" s="64"/>
      <c r="M26" s="64"/>
      <c r="N26" s="64"/>
      <c r="O26" s="64"/>
      <c r="P26" s="64"/>
      <c r="Q26" s="64"/>
      <c r="R26" s="64"/>
      <c r="S26" s="64"/>
    </row>
    <row r="27" spans="1:19" ht="15.75" x14ac:dyDescent="0.25">
      <c r="A27" s="68"/>
      <c r="B27" s="68"/>
      <c r="C27" s="68"/>
      <c r="D27" s="68"/>
      <c r="E27" s="69"/>
      <c r="F27" s="68"/>
      <c r="J27" s="64"/>
      <c r="K27" s="66" t="s">
        <v>320</v>
      </c>
      <c r="L27" s="64"/>
      <c r="M27" s="64"/>
      <c r="N27" s="64"/>
      <c r="O27" s="64"/>
      <c r="P27" s="64"/>
      <c r="Q27" s="64"/>
      <c r="R27" s="64"/>
      <c r="S27" s="64"/>
    </row>
    <row r="28" spans="1:19" x14ac:dyDescent="0.25">
      <c r="A28" s="68"/>
      <c r="B28" s="68"/>
      <c r="C28" s="68"/>
      <c r="D28" s="68"/>
      <c r="E28" s="69"/>
      <c r="F28" s="68"/>
      <c r="J28" s="64"/>
      <c r="K28" s="64" t="s">
        <v>321</v>
      </c>
      <c r="L28" s="64"/>
      <c r="M28" s="64"/>
      <c r="N28" s="64"/>
      <c r="O28" s="64"/>
      <c r="P28" s="64"/>
      <c r="Q28" s="64"/>
      <c r="R28" s="64"/>
      <c r="S28" s="64"/>
    </row>
    <row r="29" spans="1:19" x14ac:dyDescent="0.25">
      <c r="A29" s="68"/>
      <c r="B29" s="68"/>
      <c r="C29" s="68"/>
      <c r="D29" s="68"/>
      <c r="E29" s="69"/>
      <c r="F29" s="68"/>
      <c r="J29" s="64"/>
      <c r="K29" s="64"/>
      <c r="L29" s="64"/>
      <c r="M29" s="64"/>
      <c r="N29" s="64"/>
      <c r="O29" s="64"/>
      <c r="P29" s="64"/>
      <c r="Q29" s="64"/>
      <c r="R29" s="64"/>
      <c r="S29" s="64"/>
    </row>
    <row r="30" spans="1:19" x14ac:dyDescent="0.25">
      <c r="A30" s="68"/>
      <c r="B30" s="68"/>
      <c r="C30" s="68"/>
      <c r="D30" s="68"/>
      <c r="E30" s="69"/>
      <c r="F30" s="68"/>
      <c r="J30" s="64"/>
      <c r="K30" s="64" t="s">
        <v>323</v>
      </c>
      <c r="L30" s="64"/>
      <c r="M30" s="64"/>
      <c r="N30" s="64"/>
      <c r="O30" s="64"/>
      <c r="P30" s="64"/>
      <c r="Q30" s="64"/>
      <c r="R30" s="64"/>
      <c r="S30" s="64"/>
    </row>
    <row r="31" spans="1:19" ht="21" x14ac:dyDescent="0.35">
      <c r="A31" s="68"/>
      <c r="B31" s="68"/>
      <c r="C31" s="68"/>
      <c r="D31" s="68"/>
      <c r="E31" s="69"/>
      <c r="F31" s="68"/>
      <c r="J31" s="67" t="s">
        <v>317</v>
      </c>
      <c r="K31" s="64"/>
      <c r="L31" s="64"/>
      <c r="M31" s="64"/>
      <c r="N31" s="64"/>
      <c r="O31" s="64"/>
      <c r="P31" s="64"/>
      <c r="Q31" s="64"/>
      <c r="R31" s="64"/>
      <c r="S31" s="64"/>
    </row>
    <row r="32" spans="1:19" ht="15.75" x14ac:dyDescent="0.25">
      <c r="A32" s="68"/>
      <c r="B32" s="68"/>
      <c r="C32" s="68"/>
      <c r="D32" s="68"/>
      <c r="E32" s="69"/>
      <c r="F32" s="68"/>
      <c r="J32" s="64"/>
      <c r="K32" s="65" t="s">
        <v>324</v>
      </c>
      <c r="L32" s="64"/>
      <c r="M32" s="64"/>
      <c r="N32" s="64"/>
      <c r="O32" s="64"/>
      <c r="P32" s="64"/>
      <c r="Q32" s="64"/>
      <c r="R32" s="64"/>
      <c r="S32" s="64"/>
    </row>
    <row r="33" spans="1:19" x14ac:dyDescent="0.25">
      <c r="A33" s="68"/>
      <c r="B33" s="68"/>
      <c r="C33" s="68"/>
      <c r="D33" s="68"/>
      <c r="E33" s="69"/>
      <c r="F33" s="68"/>
      <c r="J33" s="64"/>
      <c r="K33" s="64" t="s">
        <v>325</v>
      </c>
      <c r="L33" s="64"/>
      <c r="M33" s="64"/>
      <c r="N33" s="64"/>
      <c r="O33" s="64"/>
      <c r="P33" s="64"/>
      <c r="Q33" s="64"/>
      <c r="R33" s="64"/>
      <c r="S33" s="64"/>
    </row>
    <row r="34" spans="1:19" x14ac:dyDescent="0.25">
      <c r="J34" s="64"/>
      <c r="K34" s="64"/>
      <c r="L34" s="64"/>
      <c r="M34" s="64"/>
      <c r="N34" s="64"/>
      <c r="O34" s="64"/>
      <c r="P34" s="64"/>
      <c r="Q34" s="64"/>
      <c r="R34" s="64"/>
      <c r="S34" s="64"/>
    </row>
  </sheetData>
  <mergeCells count="3">
    <mergeCell ref="B9:D9"/>
    <mergeCell ref="A17:F17"/>
    <mergeCell ref="A11:M1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100"/>
  <sheetViews>
    <sheetView tabSelected="1" workbookViewId="0">
      <selection activeCell="I7" sqref="I7"/>
    </sheetView>
  </sheetViews>
  <sheetFormatPr baseColWidth="10" defaultRowHeight="15" x14ac:dyDescent="0.25"/>
  <cols>
    <col min="1" max="1" width="11.5703125" customWidth="1"/>
    <col min="2" max="2" width="13.28515625" customWidth="1"/>
    <col min="8" max="10" width="13.5703125" customWidth="1"/>
  </cols>
  <sheetData>
    <row r="1" spans="1:10" s="40" customFormat="1" ht="18.75" x14ac:dyDescent="0.25">
      <c r="A1" s="31" t="s">
        <v>313</v>
      </c>
      <c r="B1" s="34" t="s">
        <v>0</v>
      </c>
      <c r="C1" s="35" t="s">
        <v>150</v>
      </c>
      <c r="D1" s="35" t="s">
        <v>227</v>
      </c>
      <c r="E1" s="35" t="s">
        <v>286</v>
      </c>
      <c r="F1" s="35" t="s">
        <v>240</v>
      </c>
      <c r="G1" s="35" t="s">
        <v>276</v>
      </c>
      <c r="H1" s="39" t="s">
        <v>298</v>
      </c>
    </row>
    <row r="2" spans="1:10" s="40" customFormat="1" ht="18.75" x14ac:dyDescent="0.25">
      <c r="A2" s="32" t="s">
        <v>306</v>
      </c>
      <c r="B2" s="34" t="s">
        <v>208</v>
      </c>
      <c r="C2" s="35" t="s">
        <v>220</v>
      </c>
      <c r="D2" s="41" t="s">
        <v>239</v>
      </c>
      <c r="E2" s="41" t="s">
        <v>285</v>
      </c>
      <c r="F2" s="41" t="s">
        <v>275</v>
      </c>
      <c r="G2" s="41" t="s">
        <v>283</v>
      </c>
      <c r="H2" s="42" t="s">
        <v>226</v>
      </c>
      <c r="I2" s="43"/>
      <c r="J2" s="43"/>
    </row>
    <row r="3" spans="1:10" s="40" customFormat="1" ht="42" x14ac:dyDescent="0.25">
      <c r="A3" s="33" t="s">
        <v>314</v>
      </c>
      <c r="B3" s="36" t="s">
        <v>1</v>
      </c>
      <c r="C3" s="37" t="s">
        <v>151</v>
      </c>
      <c r="D3" s="37" t="s">
        <v>228</v>
      </c>
      <c r="E3" s="37" t="s">
        <v>287</v>
      </c>
      <c r="F3" s="37" t="s">
        <v>241</v>
      </c>
      <c r="G3" s="37" t="s">
        <v>277</v>
      </c>
      <c r="H3" s="85">
        <v>42270</v>
      </c>
      <c r="I3" s="44"/>
      <c r="J3" s="44"/>
    </row>
    <row r="4" spans="1:10" x14ac:dyDescent="0.25">
      <c r="A4" s="29" t="s">
        <v>2</v>
      </c>
      <c r="B4" s="30" t="s">
        <v>4</v>
      </c>
      <c r="C4" s="30" t="s">
        <v>152</v>
      </c>
      <c r="D4" s="30" t="s">
        <v>3</v>
      </c>
      <c r="E4" s="30" t="s">
        <v>3</v>
      </c>
      <c r="F4" s="30" t="s">
        <v>9</v>
      </c>
      <c r="G4" s="30" t="s">
        <v>3</v>
      </c>
      <c r="H4" s="8">
        <v>117.07151360544262</v>
      </c>
      <c r="I4" s="8"/>
      <c r="J4" s="8"/>
    </row>
    <row r="5" spans="1:10" x14ac:dyDescent="0.25">
      <c r="A5" s="11" t="s">
        <v>5</v>
      </c>
      <c r="B5" s="2" t="s">
        <v>7</v>
      </c>
      <c r="C5" s="2" t="s">
        <v>3</v>
      </c>
      <c r="D5" s="2" t="s">
        <v>3</v>
      </c>
      <c r="E5" s="2" t="s">
        <v>218</v>
      </c>
      <c r="F5" s="2" t="s">
        <v>3</v>
      </c>
      <c r="G5" s="2" t="s">
        <v>3</v>
      </c>
      <c r="H5" s="8">
        <v>78.182519068233688</v>
      </c>
      <c r="I5" s="8"/>
      <c r="J5" s="8"/>
    </row>
    <row r="6" spans="1:10" x14ac:dyDescent="0.25">
      <c r="A6" s="1" t="s">
        <v>8</v>
      </c>
      <c r="B6" s="2" t="s">
        <v>10</v>
      </c>
      <c r="C6" s="2" t="s">
        <v>153</v>
      </c>
      <c r="D6" s="2" t="s">
        <v>28</v>
      </c>
      <c r="E6" s="2" t="s">
        <v>288</v>
      </c>
      <c r="F6" s="2" t="s">
        <v>55</v>
      </c>
      <c r="G6" s="2" t="s">
        <v>3</v>
      </c>
      <c r="H6" s="8">
        <v>35.418838304552601</v>
      </c>
      <c r="I6" s="8"/>
      <c r="J6" s="8"/>
    </row>
    <row r="7" spans="1:10" x14ac:dyDescent="0.25">
      <c r="A7" s="1" t="s">
        <v>12</v>
      </c>
      <c r="B7" s="2" t="s">
        <v>14</v>
      </c>
      <c r="C7" s="2" t="s">
        <v>120</v>
      </c>
      <c r="D7" s="2" t="s">
        <v>3</v>
      </c>
      <c r="E7" s="2" t="s">
        <v>89</v>
      </c>
      <c r="F7" s="2" t="s">
        <v>152</v>
      </c>
      <c r="G7" s="2" t="s">
        <v>3</v>
      </c>
      <c r="H7" s="8">
        <v>-57.389411416740415</v>
      </c>
      <c r="I7" s="8"/>
      <c r="J7" s="8"/>
    </row>
    <row r="8" spans="1:10" x14ac:dyDescent="0.25">
      <c r="A8" s="1" t="s">
        <v>15</v>
      </c>
      <c r="B8" s="2" t="s">
        <v>16</v>
      </c>
      <c r="C8" s="2" t="s">
        <v>115</v>
      </c>
      <c r="D8" s="2" t="s">
        <v>3</v>
      </c>
      <c r="E8" s="2" t="s">
        <v>3</v>
      </c>
      <c r="F8" s="2" t="s">
        <v>153</v>
      </c>
      <c r="G8" s="2" t="s">
        <v>3</v>
      </c>
      <c r="H8" s="8">
        <v>18.111756368863105</v>
      </c>
      <c r="I8" s="8"/>
      <c r="J8" s="8"/>
    </row>
    <row r="9" spans="1:10" ht="22.5" x14ac:dyDescent="0.25">
      <c r="A9" s="11" t="s">
        <v>17</v>
      </c>
      <c r="B9" s="2" t="s">
        <v>18</v>
      </c>
      <c r="C9" s="2" t="s">
        <v>55</v>
      </c>
      <c r="D9" s="2" t="s">
        <v>127</v>
      </c>
      <c r="E9" s="2" t="s">
        <v>3</v>
      </c>
      <c r="F9" s="2" t="s">
        <v>22</v>
      </c>
      <c r="G9" s="2" t="s">
        <v>3</v>
      </c>
      <c r="H9" s="8">
        <v>3.5501380393005775</v>
      </c>
      <c r="I9" s="8"/>
      <c r="J9" s="8"/>
    </row>
    <row r="10" spans="1:10" x14ac:dyDescent="0.25">
      <c r="A10" s="1" t="s">
        <v>19</v>
      </c>
      <c r="B10" s="2" t="s">
        <v>3</v>
      </c>
      <c r="C10" s="2" t="s">
        <v>3</v>
      </c>
      <c r="D10" s="2" t="s">
        <v>3</v>
      </c>
      <c r="E10" s="2" t="s">
        <v>3</v>
      </c>
      <c r="F10" s="2" t="s">
        <v>3</v>
      </c>
      <c r="G10" s="2" t="s">
        <v>3</v>
      </c>
      <c r="H10" s="8">
        <v>113.28069727891156</v>
      </c>
      <c r="I10" s="8"/>
      <c r="J10" s="8"/>
    </row>
    <row r="11" spans="1:10" x14ac:dyDescent="0.25">
      <c r="A11" s="1" t="s">
        <v>20</v>
      </c>
      <c r="B11" s="2" t="s">
        <v>3</v>
      </c>
      <c r="C11" s="2" t="s">
        <v>154</v>
      </c>
      <c r="D11" s="2" t="s">
        <v>196</v>
      </c>
      <c r="E11" s="2" t="s">
        <v>3</v>
      </c>
      <c r="F11" s="2" t="s">
        <v>3</v>
      </c>
      <c r="G11" s="2" t="s">
        <v>3</v>
      </c>
      <c r="H11" s="8">
        <v>3062.9589024071183</v>
      </c>
      <c r="I11" s="8"/>
      <c r="J11" s="8"/>
    </row>
    <row r="12" spans="1:10" ht="22.5" x14ac:dyDescent="0.25">
      <c r="A12" s="11" t="s">
        <v>21</v>
      </c>
      <c r="B12" s="2" t="s">
        <v>22</v>
      </c>
      <c r="C12" s="2" t="s">
        <v>155</v>
      </c>
      <c r="D12" s="2" t="s">
        <v>229</v>
      </c>
      <c r="E12" s="2" t="s">
        <v>3</v>
      </c>
      <c r="F12" s="2" t="s">
        <v>87</v>
      </c>
      <c r="G12" s="2" t="s">
        <v>3</v>
      </c>
      <c r="H12" s="8">
        <v>3233.2221214411647</v>
      </c>
      <c r="I12" s="8"/>
      <c r="J12" s="8"/>
    </row>
    <row r="13" spans="1:10" x14ac:dyDescent="0.25">
      <c r="A13" s="1" t="s">
        <v>23</v>
      </c>
      <c r="B13" s="2" t="s">
        <v>24</v>
      </c>
      <c r="C13" s="2" t="s">
        <v>156</v>
      </c>
      <c r="D13" s="2" t="s">
        <v>11</v>
      </c>
      <c r="E13" s="2" t="s">
        <v>3</v>
      </c>
      <c r="F13" s="2" t="s">
        <v>242</v>
      </c>
      <c r="G13" s="2" t="s">
        <v>3</v>
      </c>
      <c r="H13" s="8">
        <v>75.971345611415018</v>
      </c>
      <c r="I13" s="8"/>
      <c r="J13" s="8"/>
    </row>
    <row r="14" spans="1:10" x14ac:dyDescent="0.25">
      <c r="A14" s="1" t="s">
        <v>25</v>
      </c>
      <c r="B14" s="2" t="s">
        <v>3</v>
      </c>
      <c r="C14" s="2" t="s">
        <v>3</v>
      </c>
      <c r="D14" s="2" t="s">
        <v>46</v>
      </c>
      <c r="E14" s="2" t="s">
        <v>3</v>
      </c>
      <c r="F14" s="2" t="s">
        <v>112</v>
      </c>
      <c r="G14" s="2" t="s">
        <v>3</v>
      </c>
      <c r="H14" s="8">
        <v>93.914030612245597</v>
      </c>
      <c r="I14" s="8"/>
      <c r="J14" s="8"/>
    </row>
    <row r="15" spans="1:10" x14ac:dyDescent="0.25">
      <c r="A15" s="1" t="s">
        <v>26</v>
      </c>
      <c r="B15" s="2" t="s">
        <v>3</v>
      </c>
      <c r="C15" s="2" t="s">
        <v>158</v>
      </c>
      <c r="D15" s="2" t="s">
        <v>34</v>
      </c>
      <c r="E15" s="2" t="s">
        <v>55</v>
      </c>
      <c r="F15" s="2" t="s">
        <v>42</v>
      </c>
      <c r="G15" s="2" t="s">
        <v>3</v>
      </c>
      <c r="H15" s="8">
        <v>117.34954402813759</v>
      </c>
      <c r="I15" s="8"/>
      <c r="J15" s="8"/>
    </row>
    <row r="16" spans="1:10" x14ac:dyDescent="0.25">
      <c r="A16" s="1" t="s">
        <v>27</v>
      </c>
      <c r="B16" s="2" t="s">
        <v>29</v>
      </c>
      <c r="C16" s="2" t="s">
        <v>159</v>
      </c>
      <c r="D16" s="2" t="s">
        <v>211</v>
      </c>
      <c r="E16" s="2" t="s">
        <v>206</v>
      </c>
      <c r="F16" s="2" t="s">
        <v>39</v>
      </c>
      <c r="G16" s="2" t="s">
        <v>3</v>
      </c>
      <c r="H16" s="8">
        <v>119.9176770830727</v>
      </c>
      <c r="I16" s="8"/>
      <c r="J16" s="8"/>
    </row>
    <row r="17" spans="1:10" ht="22.5" x14ac:dyDescent="0.25">
      <c r="A17" s="11" t="s">
        <v>30</v>
      </c>
      <c r="B17" s="2" t="s">
        <v>31</v>
      </c>
      <c r="C17" s="3" t="s">
        <v>161</v>
      </c>
      <c r="D17" s="2" t="s">
        <v>230</v>
      </c>
      <c r="E17" s="2" t="s">
        <v>3</v>
      </c>
      <c r="F17" s="2" t="s">
        <v>215</v>
      </c>
      <c r="G17" s="2" t="s">
        <v>3</v>
      </c>
      <c r="H17" s="8">
        <v>190.53400808972259</v>
      </c>
      <c r="I17" s="8"/>
      <c r="J17" s="8"/>
    </row>
    <row r="18" spans="1:10" x14ac:dyDescent="0.25">
      <c r="A18" s="9" t="s">
        <v>33</v>
      </c>
      <c r="B18" s="2" t="s">
        <v>34</v>
      </c>
      <c r="C18" s="2" t="s">
        <v>91</v>
      </c>
      <c r="D18" s="2" t="s">
        <v>3</v>
      </c>
      <c r="E18" s="2" t="s">
        <v>3</v>
      </c>
      <c r="F18" s="2" t="s">
        <v>243</v>
      </c>
      <c r="G18" s="2" t="s">
        <v>3</v>
      </c>
      <c r="H18" s="8">
        <v>24.936574864585594</v>
      </c>
      <c r="I18" s="8"/>
      <c r="J18" s="8"/>
    </row>
    <row r="19" spans="1:10" x14ac:dyDescent="0.25">
      <c r="A19" s="9" t="s">
        <v>35</v>
      </c>
      <c r="B19" s="2" t="s">
        <v>3</v>
      </c>
      <c r="C19" s="2" t="s">
        <v>162</v>
      </c>
      <c r="D19" s="2" t="s">
        <v>28</v>
      </c>
      <c r="E19" s="2" t="s">
        <v>3</v>
      </c>
      <c r="F19" s="2" t="s">
        <v>176</v>
      </c>
      <c r="G19" s="2" t="s">
        <v>3</v>
      </c>
      <c r="H19" s="8">
        <v>33.498460436806596</v>
      </c>
      <c r="I19" s="8"/>
      <c r="J19" s="8"/>
    </row>
    <row r="20" spans="1:10" x14ac:dyDescent="0.25">
      <c r="A20" s="1" t="s">
        <v>36</v>
      </c>
      <c r="B20" s="2" t="s">
        <v>37</v>
      </c>
      <c r="C20" s="2" t="s">
        <v>77</v>
      </c>
      <c r="D20" s="2" t="s">
        <v>3</v>
      </c>
      <c r="E20" s="2" t="s">
        <v>3</v>
      </c>
      <c r="F20" s="2" t="s">
        <v>48</v>
      </c>
      <c r="G20" s="2" t="s">
        <v>3</v>
      </c>
      <c r="H20" s="8">
        <v>11.140256102440588</v>
      </c>
      <c r="I20" s="8"/>
      <c r="J20" s="8"/>
    </row>
    <row r="21" spans="1:10" x14ac:dyDescent="0.25">
      <c r="A21" s="1" t="s">
        <v>38</v>
      </c>
      <c r="B21" s="2" t="s">
        <v>39</v>
      </c>
      <c r="C21" s="2" t="s">
        <v>163</v>
      </c>
      <c r="D21" s="2" t="s">
        <v>209</v>
      </c>
      <c r="E21" s="2" t="s">
        <v>127</v>
      </c>
      <c r="F21" s="2" t="s">
        <v>243</v>
      </c>
      <c r="G21" s="2" t="s">
        <v>3</v>
      </c>
      <c r="H21" s="8">
        <v>159.08700700055672</v>
      </c>
      <c r="I21" s="8"/>
      <c r="J21" s="8"/>
    </row>
    <row r="22" spans="1:10" x14ac:dyDescent="0.25">
      <c r="A22" s="9" t="s">
        <v>41</v>
      </c>
      <c r="B22" s="2" t="s">
        <v>42</v>
      </c>
      <c r="C22" s="2" t="s">
        <v>164</v>
      </c>
      <c r="D22" s="2" t="s">
        <v>3</v>
      </c>
      <c r="E22" s="2" t="s">
        <v>3</v>
      </c>
      <c r="F22" s="2" t="s">
        <v>224</v>
      </c>
      <c r="G22" s="2" t="s">
        <v>3</v>
      </c>
      <c r="H22" s="8">
        <v>332.88308698479358</v>
      </c>
      <c r="I22" s="8"/>
      <c r="J22" s="8"/>
    </row>
    <row r="23" spans="1:10" x14ac:dyDescent="0.25">
      <c r="A23" s="9" t="s">
        <v>43</v>
      </c>
      <c r="B23" s="2" t="s">
        <v>39</v>
      </c>
      <c r="C23" s="2" t="s">
        <v>158</v>
      </c>
      <c r="D23" s="2" t="s">
        <v>60</v>
      </c>
      <c r="E23" s="2" t="s">
        <v>70</v>
      </c>
      <c r="F23" s="2" t="s">
        <v>163</v>
      </c>
      <c r="G23" s="2" t="s">
        <v>3</v>
      </c>
      <c r="H23" s="8">
        <v>363.45609638491453</v>
      </c>
      <c r="I23" s="8"/>
      <c r="J23" s="8"/>
    </row>
    <row r="24" spans="1:10" x14ac:dyDescent="0.25">
      <c r="A24" s="1" t="s">
        <v>44</v>
      </c>
      <c r="B24" s="2" t="s">
        <v>3</v>
      </c>
      <c r="C24" s="2" t="s">
        <v>3</v>
      </c>
      <c r="D24" s="2" t="s">
        <v>3</v>
      </c>
      <c r="E24" s="2" t="s">
        <v>3</v>
      </c>
      <c r="F24" s="2" t="s">
        <v>3</v>
      </c>
      <c r="G24" s="2" t="s">
        <v>3</v>
      </c>
      <c r="H24" s="8">
        <v>-249.31632653061234</v>
      </c>
      <c r="I24" s="8"/>
      <c r="J24" s="8"/>
    </row>
    <row r="25" spans="1:10" x14ac:dyDescent="0.25">
      <c r="A25" s="1" t="s">
        <v>45</v>
      </c>
      <c r="B25" s="2" t="s">
        <v>46</v>
      </c>
      <c r="C25" s="2" t="s">
        <v>37</v>
      </c>
      <c r="D25" s="2" t="s">
        <v>115</v>
      </c>
      <c r="E25" s="2" t="s">
        <v>115</v>
      </c>
      <c r="F25" s="2" t="s">
        <v>244</v>
      </c>
      <c r="G25" s="2" t="s">
        <v>3</v>
      </c>
      <c r="H25" s="8">
        <v>31.472562358277102</v>
      </c>
      <c r="I25" s="8"/>
      <c r="J25" s="8"/>
    </row>
    <row r="26" spans="1:10" x14ac:dyDescent="0.25">
      <c r="A26" s="1" t="s">
        <v>47</v>
      </c>
      <c r="B26" s="2" t="s">
        <v>48</v>
      </c>
      <c r="C26" s="2" t="s">
        <v>167</v>
      </c>
      <c r="D26" s="2" t="s">
        <v>3</v>
      </c>
      <c r="E26" s="2" t="s">
        <v>55</v>
      </c>
      <c r="F26" s="2" t="s">
        <v>219</v>
      </c>
      <c r="G26" s="2" t="s">
        <v>3</v>
      </c>
      <c r="H26" s="8">
        <v>169.30517550032692</v>
      </c>
      <c r="I26" s="8"/>
      <c r="J26" s="8"/>
    </row>
    <row r="27" spans="1:10" x14ac:dyDescent="0.25">
      <c r="A27" s="1" t="s">
        <v>49</v>
      </c>
      <c r="B27" s="2" t="s">
        <v>3</v>
      </c>
      <c r="C27" s="2" t="s">
        <v>4</v>
      </c>
      <c r="D27" s="2" t="s">
        <v>231</v>
      </c>
      <c r="E27" s="2" t="s">
        <v>3</v>
      </c>
      <c r="F27" s="2" t="s">
        <v>246</v>
      </c>
      <c r="G27" s="2" t="s">
        <v>3</v>
      </c>
      <c r="H27" s="8">
        <v>95.52504312069658</v>
      </c>
      <c r="I27" s="8"/>
      <c r="J27" s="8"/>
    </row>
    <row r="28" spans="1:10" ht="22.5" x14ac:dyDescent="0.25">
      <c r="A28" s="11" t="s">
        <v>50</v>
      </c>
      <c r="B28" s="2" t="s">
        <v>51</v>
      </c>
      <c r="C28" s="2" t="s">
        <v>3</v>
      </c>
      <c r="D28" s="2" t="s">
        <v>16</v>
      </c>
      <c r="E28" s="2" t="s">
        <v>3</v>
      </c>
      <c r="F28" s="2" t="s">
        <v>160</v>
      </c>
      <c r="G28" s="2" t="s">
        <v>3</v>
      </c>
      <c r="H28" s="8">
        <v>196.78898441860059</v>
      </c>
      <c r="I28" s="8"/>
      <c r="J28" s="8"/>
    </row>
    <row r="29" spans="1:10" x14ac:dyDescent="0.25">
      <c r="A29" s="1" t="s">
        <v>52</v>
      </c>
      <c r="B29" s="2" t="s">
        <v>53</v>
      </c>
      <c r="C29" s="2" t="s">
        <v>166</v>
      </c>
      <c r="D29" s="2" t="s">
        <v>3</v>
      </c>
      <c r="E29" s="2" t="s">
        <v>3</v>
      </c>
      <c r="F29" s="2" t="s">
        <v>181</v>
      </c>
      <c r="G29" s="2" t="s">
        <v>3</v>
      </c>
      <c r="H29" s="8">
        <v>7.6880690737825859</v>
      </c>
      <c r="I29" s="8"/>
      <c r="J29" s="8"/>
    </row>
    <row r="30" spans="1:10" x14ac:dyDescent="0.25">
      <c r="A30" s="9" t="s">
        <v>54</v>
      </c>
      <c r="B30" s="2" t="s">
        <v>56</v>
      </c>
      <c r="C30" s="2" t="s">
        <v>77</v>
      </c>
      <c r="D30" s="2" t="s">
        <v>22</v>
      </c>
      <c r="E30" s="2" t="s">
        <v>3</v>
      </c>
      <c r="F30" s="2" t="s">
        <v>110</v>
      </c>
      <c r="G30" s="2" t="s">
        <v>3</v>
      </c>
      <c r="H30" s="8">
        <v>84.988471097366187</v>
      </c>
      <c r="I30" s="8"/>
      <c r="J30" s="8"/>
    </row>
    <row r="31" spans="1:10" x14ac:dyDescent="0.25">
      <c r="A31" s="9" t="s">
        <v>57</v>
      </c>
      <c r="B31" s="2" t="s">
        <v>3</v>
      </c>
      <c r="C31" s="2" t="s">
        <v>169</v>
      </c>
      <c r="D31" s="2" t="s">
        <v>3</v>
      </c>
      <c r="E31" s="2" t="s">
        <v>3</v>
      </c>
      <c r="F31" s="2" t="s">
        <v>55</v>
      </c>
      <c r="G31" s="2" t="s">
        <v>3</v>
      </c>
      <c r="H31" s="8">
        <v>255.33682472989156</v>
      </c>
      <c r="I31" s="8"/>
      <c r="J31" s="8"/>
    </row>
    <row r="32" spans="1:10" x14ac:dyDescent="0.25">
      <c r="A32" s="1" t="s">
        <v>58</v>
      </c>
      <c r="B32" s="2" t="s">
        <v>3</v>
      </c>
      <c r="C32" s="2" t="s">
        <v>3</v>
      </c>
      <c r="D32" s="2" t="s">
        <v>102</v>
      </c>
      <c r="E32" s="2" t="s">
        <v>3</v>
      </c>
      <c r="F32" s="2" t="s">
        <v>232</v>
      </c>
      <c r="G32" s="2" t="s">
        <v>3</v>
      </c>
      <c r="H32" s="8">
        <v>86.473082336382589</v>
      </c>
      <c r="I32" s="8"/>
      <c r="J32" s="8"/>
    </row>
    <row r="33" spans="1:10" x14ac:dyDescent="0.25">
      <c r="A33" s="1" t="s">
        <v>59</v>
      </c>
      <c r="B33" s="2" t="s">
        <v>60</v>
      </c>
      <c r="C33" s="2" t="s">
        <v>158</v>
      </c>
      <c r="D33" s="2" t="s">
        <v>166</v>
      </c>
      <c r="E33" s="2" t="s">
        <v>28</v>
      </c>
      <c r="F33" s="2" t="s">
        <v>60</v>
      </c>
      <c r="G33" s="2" t="s">
        <v>3</v>
      </c>
      <c r="H33" s="8">
        <v>113.00531849103228</v>
      </c>
      <c r="I33" s="8"/>
      <c r="J33" s="8"/>
    </row>
    <row r="34" spans="1:10" x14ac:dyDescent="0.25">
      <c r="A34" s="1" t="s">
        <v>61</v>
      </c>
      <c r="B34" s="2" t="s">
        <v>3</v>
      </c>
      <c r="C34" s="2" t="s">
        <v>3</v>
      </c>
      <c r="D34" s="2" t="s">
        <v>3</v>
      </c>
      <c r="E34" s="2" t="s">
        <v>3</v>
      </c>
      <c r="F34" s="2" t="s">
        <v>3</v>
      </c>
      <c r="G34" s="2" t="s">
        <v>3</v>
      </c>
      <c r="H34" s="8">
        <v>722.20708616780053</v>
      </c>
      <c r="I34" s="8"/>
      <c r="J34" s="8"/>
    </row>
    <row r="35" spans="1:10" x14ac:dyDescent="0.25">
      <c r="A35" s="1" t="s">
        <v>62</v>
      </c>
      <c r="B35" s="2" t="s">
        <v>63</v>
      </c>
      <c r="C35" s="2" t="s">
        <v>153</v>
      </c>
      <c r="D35" s="2" t="s">
        <v>3</v>
      </c>
      <c r="E35" s="2" t="s">
        <v>3</v>
      </c>
      <c r="F35" s="2" t="s">
        <v>152</v>
      </c>
      <c r="G35" s="2" t="s">
        <v>3</v>
      </c>
      <c r="H35" s="8">
        <v>218.30094921689579</v>
      </c>
      <c r="I35" s="8"/>
      <c r="J35" s="8"/>
    </row>
    <row r="36" spans="1:10" x14ac:dyDescent="0.25">
      <c r="A36" s="1" t="s">
        <v>65</v>
      </c>
      <c r="B36" s="2" t="s">
        <v>3</v>
      </c>
      <c r="C36" s="2" t="s">
        <v>3</v>
      </c>
      <c r="D36" s="2" t="s">
        <v>3</v>
      </c>
      <c r="E36" s="2" t="s">
        <v>3</v>
      </c>
      <c r="F36" s="2" t="s">
        <v>157</v>
      </c>
      <c r="G36" s="2" t="s">
        <v>3</v>
      </c>
      <c r="H36" s="8">
        <v>346.89473488025362</v>
      </c>
      <c r="I36" s="8"/>
      <c r="J36" s="8"/>
    </row>
    <row r="37" spans="1:10" x14ac:dyDescent="0.25">
      <c r="A37" s="1" t="s">
        <v>66</v>
      </c>
      <c r="B37" s="2" t="s">
        <v>3</v>
      </c>
      <c r="C37" s="2" t="s">
        <v>3</v>
      </c>
      <c r="D37" s="2" t="s">
        <v>82</v>
      </c>
      <c r="E37" s="2" t="s">
        <v>22</v>
      </c>
      <c r="F37" s="2" t="s">
        <v>247</v>
      </c>
      <c r="G37" s="2" t="s">
        <v>3</v>
      </c>
      <c r="H37" s="8">
        <v>141.6180831236608</v>
      </c>
      <c r="I37" s="8"/>
      <c r="J37" s="8"/>
    </row>
    <row r="38" spans="1:10" ht="22.5" x14ac:dyDescent="0.25">
      <c r="A38" s="11" t="s">
        <v>67</v>
      </c>
      <c r="B38" s="2" t="s">
        <v>3</v>
      </c>
      <c r="C38" s="2" t="s">
        <v>3</v>
      </c>
      <c r="D38" s="2" t="s">
        <v>3</v>
      </c>
      <c r="E38" s="2" t="s">
        <v>46</v>
      </c>
      <c r="F38" s="2" t="s">
        <v>248</v>
      </c>
      <c r="G38" s="2" t="s">
        <v>3</v>
      </c>
      <c r="H38" s="8">
        <v>84.517656153370808</v>
      </c>
      <c r="I38" s="8"/>
      <c r="J38" s="8"/>
    </row>
    <row r="39" spans="1:10" x14ac:dyDescent="0.25">
      <c r="A39" s="1" t="s">
        <v>68</v>
      </c>
      <c r="B39" s="2" t="s">
        <v>3</v>
      </c>
      <c r="C39" s="2" t="s">
        <v>170</v>
      </c>
      <c r="D39" s="2" t="s">
        <v>213</v>
      </c>
      <c r="E39" s="2" t="s">
        <v>3</v>
      </c>
      <c r="F39" s="2" t="s">
        <v>249</v>
      </c>
      <c r="G39" s="2" t="s">
        <v>3</v>
      </c>
      <c r="H39" s="8">
        <v>-5.2039998277791994</v>
      </c>
      <c r="I39" s="8"/>
      <c r="J39" s="8"/>
    </row>
    <row r="40" spans="1:10" ht="22.5" x14ac:dyDescent="0.25">
      <c r="A40" s="11" t="s">
        <v>69</v>
      </c>
      <c r="B40" s="2" t="s">
        <v>63</v>
      </c>
      <c r="C40" s="2" t="s">
        <v>171</v>
      </c>
      <c r="D40" s="2" t="s">
        <v>3</v>
      </c>
      <c r="E40" s="2" t="s">
        <v>3</v>
      </c>
      <c r="F40" s="2" t="s">
        <v>222</v>
      </c>
      <c r="G40" s="2" t="s">
        <v>3</v>
      </c>
      <c r="H40" s="8">
        <v>117.66378551420573</v>
      </c>
      <c r="I40" s="8"/>
      <c r="J40" s="8"/>
    </row>
    <row r="41" spans="1:10" x14ac:dyDescent="0.25">
      <c r="A41" s="1" t="s">
        <v>71</v>
      </c>
      <c r="B41" s="2" t="s">
        <v>6</v>
      </c>
      <c r="C41" s="2" t="s">
        <v>82</v>
      </c>
      <c r="D41" s="2" t="s">
        <v>3</v>
      </c>
      <c r="E41" s="2" t="s">
        <v>3</v>
      </c>
      <c r="F41" s="2" t="s">
        <v>120</v>
      </c>
      <c r="G41" s="2" t="s">
        <v>3</v>
      </c>
      <c r="H41" s="8">
        <v>256.79951536170068</v>
      </c>
      <c r="I41" s="8"/>
      <c r="J41" s="8"/>
    </row>
    <row r="42" spans="1:10" x14ac:dyDescent="0.25">
      <c r="A42" s="1" t="s">
        <v>72</v>
      </c>
      <c r="B42" s="2" t="s">
        <v>18</v>
      </c>
      <c r="C42" s="2" t="s">
        <v>172</v>
      </c>
      <c r="D42" s="2" t="s">
        <v>87</v>
      </c>
      <c r="E42" s="2" t="s">
        <v>34</v>
      </c>
      <c r="F42" s="2" t="s">
        <v>251</v>
      </c>
      <c r="G42" s="2" t="s">
        <v>3</v>
      </c>
      <c r="H42" s="8">
        <v>30.302511004401786</v>
      </c>
      <c r="I42" s="8"/>
      <c r="J42" s="8"/>
    </row>
    <row r="43" spans="1:10" x14ac:dyDescent="0.25">
      <c r="A43" s="1" t="s">
        <v>73</v>
      </c>
      <c r="B43" s="2" t="s">
        <v>3</v>
      </c>
      <c r="C43" s="2" t="s">
        <v>28</v>
      </c>
      <c r="D43" s="2" t="s">
        <v>3</v>
      </c>
      <c r="E43" s="2" t="s">
        <v>3</v>
      </c>
      <c r="F43" s="2" t="s">
        <v>252</v>
      </c>
      <c r="G43" s="2" t="s">
        <v>3</v>
      </c>
      <c r="H43" s="8">
        <v>109.9804491075426</v>
      </c>
      <c r="I43" s="8"/>
      <c r="J43" s="8"/>
    </row>
    <row r="44" spans="1:10" x14ac:dyDescent="0.25">
      <c r="A44" s="1" t="s">
        <v>74</v>
      </c>
      <c r="B44" s="2" t="s">
        <v>3</v>
      </c>
      <c r="C44" s="2" t="s">
        <v>173</v>
      </c>
      <c r="D44" s="2" t="s">
        <v>4</v>
      </c>
      <c r="E44" s="2" t="s">
        <v>115</v>
      </c>
      <c r="F44" s="2" t="s">
        <v>189</v>
      </c>
      <c r="G44" s="2" t="s">
        <v>3</v>
      </c>
      <c r="H44" s="8">
        <v>44.900659965478795</v>
      </c>
      <c r="I44" s="8"/>
      <c r="J44" s="8"/>
    </row>
    <row r="45" spans="1:10" x14ac:dyDescent="0.25">
      <c r="A45" s="1" t="s">
        <v>75</v>
      </c>
      <c r="B45" s="2" t="s">
        <v>3</v>
      </c>
      <c r="C45" s="2" t="s">
        <v>163</v>
      </c>
      <c r="D45" s="2" t="s">
        <v>165</v>
      </c>
      <c r="E45" s="2" t="s">
        <v>82</v>
      </c>
      <c r="F45" s="2" t="s">
        <v>221</v>
      </c>
      <c r="G45" s="2" t="s">
        <v>3</v>
      </c>
      <c r="H45" s="8">
        <v>156.82713021251189</v>
      </c>
      <c r="I45" s="8"/>
      <c r="J45" s="8"/>
    </row>
    <row r="46" spans="1:10" x14ac:dyDescent="0.25">
      <c r="A46" s="1" t="s">
        <v>76</v>
      </c>
      <c r="B46" s="2" t="s">
        <v>77</v>
      </c>
      <c r="C46" s="2" t="s">
        <v>174</v>
      </c>
      <c r="D46" s="2" t="s">
        <v>22</v>
      </c>
      <c r="E46" s="2" t="s">
        <v>34</v>
      </c>
      <c r="F46" s="2" t="s">
        <v>184</v>
      </c>
      <c r="G46" s="2" t="s">
        <v>3</v>
      </c>
      <c r="H46" s="8">
        <v>48.390447868070595</v>
      </c>
      <c r="I46" s="8"/>
      <c r="J46" s="8"/>
    </row>
    <row r="47" spans="1:10" x14ac:dyDescent="0.25">
      <c r="A47" s="1" t="s">
        <v>78</v>
      </c>
      <c r="B47" s="2" t="s">
        <v>79</v>
      </c>
      <c r="C47" s="2" t="s">
        <v>165</v>
      </c>
      <c r="D47" s="2" t="s">
        <v>3</v>
      </c>
      <c r="E47" s="2" t="s">
        <v>115</v>
      </c>
      <c r="F47" s="2" t="s">
        <v>167</v>
      </c>
      <c r="G47" s="2" t="s">
        <v>3</v>
      </c>
      <c r="H47" s="8">
        <v>32.943080728795103</v>
      </c>
      <c r="I47" s="8"/>
      <c r="J47" s="8"/>
    </row>
    <row r="48" spans="1:10" x14ac:dyDescent="0.25">
      <c r="A48" s="9" t="s">
        <v>80</v>
      </c>
      <c r="B48" s="2" t="s">
        <v>3</v>
      </c>
      <c r="C48" s="7" t="s">
        <v>175</v>
      </c>
      <c r="D48" s="2" t="s">
        <v>3</v>
      </c>
      <c r="E48" s="2" t="s">
        <v>3</v>
      </c>
      <c r="F48" s="2" t="s">
        <v>246</v>
      </c>
      <c r="G48" s="2" t="s">
        <v>250</v>
      </c>
      <c r="H48" s="8">
        <v>177.83764172335557</v>
      </c>
      <c r="I48" s="8"/>
      <c r="J48" s="8"/>
    </row>
    <row r="49" spans="1:10" x14ac:dyDescent="0.25">
      <c r="A49" s="9" t="s">
        <v>81</v>
      </c>
      <c r="B49" s="2" t="s">
        <v>82</v>
      </c>
      <c r="C49" s="7" t="s">
        <v>177</v>
      </c>
      <c r="D49" s="2" t="s">
        <v>3</v>
      </c>
      <c r="E49" s="2" t="s">
        <v>3</v>
      </c>
      <c r="F49" s="2" t="s">
        <v>42</v>
      </c>
      <c r="G49" s="2" t="s">
        <v>278</v>
      </c>
      <c r="H49" s="8">
        <v>57.323477524980916</v>
      </c>
      <c r="I49" s="8"/>
      <c r="J49" s="8"/>
    </row>
    <row r="50" spans="1:10" x14ac:dyDescent="0.25">
      <c r="A50" s="1" t="s">
        <v>83</v>
      </c>
      <c r="B50" s="2" t="s">
        <v>3</v>
      </c>
      <c r="C50" s="6" t="s">
        <v>178</v>
      </c>
      <c r="D50" s="2" t="s">
        <v>46</v>
      </c>
      <c r="E50" s="2" t="s">
        <v>3</v>
      </c>
      <c r="F50" s="2" t="s">
        <v>253</v>
      </c>
      <c r="G50" s="2" t="s">
        <v>279</v>
      </c>
      <c r="H50" s="8">
        <v>19.474302448251677</v>
      </c>
      <c r="I50" s="8"/>
      <c r="J50" s="8"/>
    </row>
    <row r="51" spans="1:10" x14ac:dyDescent="0.25">
      <c r="A51" s="1" t="s">
        <v>84</v>
      </c>
      <c r="B51" s="2" t="s">
        <v>3</v>
      </c>
      <c r="C51" s="2" t="s">
        <v>3</v>
      </c>
      <c r="D51" s="2" t="s">
        <v>3</v>
      </c>
      <c r="E51" s="2" t="s">
        <v>3</v>
      </c>
      <c r="F51" s="2" t="s">
        <v>254</v>
      </c>
      <c r="G51" s="2" t="s">
        <v>3</v>
      </c>
      <c r="H51" s="8">
        <v>35.701716716463594</v>
      </c>
      <c r="I51" s="8"/>
      <c r="J51" s="8"/>
    </row>
    <row r="52" spans="1:10" x14ac:dyDescent="0.25">
      <c r="A52" s="1" t="s">
        <v>85</v>
      </c>
      <c r="B52" s="2" t="s">
        <v>79</v>
      </c>
      <c r="C52" s="2" t="s">
        <v>179</v>
      </c>
      <c r="D52" s="2" t="s">
        <v>4</v>
      </c>
      <c r="E52" s="2" t="s">
        <v>9</v>
      </c>
      <c r="F52" s="2" t="s">
        <v>255</v>
      </c>
      <c r="G52" s="2" t="s">
        <v>3</v>
      </c>
      <c r="H52" s="8">
        <v>135.12172580744061</v>
      </c>
      <c r="I52" s="8"/>
      <c r="J52" s="8"/>
    </row>
    <row r="53" spans="1:10" x14ac:dyDescent="0.25">
      <c r="A53" s="1" t="s">
        <v>86</v>
      </c>
      <c r="B53" s="2" t="s">
        <v>87</v>
      </c>
      <c r="C53" s="2" t="s">
        <v>180</v>
      </c>
      <c r="D53" s="2" t="s">
        <v>40</v>
      </c>
      <c r="E53" s="2" t="s">
        <v>3</v>
      </c>
      <c r="F53" s="2" t="s">
        <v>235</v>
      </c>
      <c r="G53" s="2" t="s">
        <v>3</v>
      </c>
      <c r="H53" s="8">
        <v>7.3143684500826964</v>
      </c>
      <c r="I53" s="8"/>
      <c r="J53" s="8"/>
    </row>
    <row r="54" spans="1:10" x14ac:dyDescent="0.25">
      <c r="A54" s="1" t="s">
        <v>88</v>
      </c>
      <c r="B54" s="2" t="s">
        <v>89</v>
      </c>
      <c r="C54" s="2" t="s">
        <v>181</v>
      </c>
      <c r="D54" s="2" t="s">
        <v>3</v>
      </c>
      <c r="E54" s="2" t="s">
        <v>3</v>
      </c>
      <c r="F54" s="2" t="s">
        <v>63</v>
      </c>
      <c r="G54" s="2" t="s">
        <v>3</v>
      </c>
      <c r="H54" s="8">
        <v>87.926260706712299</v>
      </c>
      <c r="I54" s="8"/>
      <c r="J54" s="8"/>
    </row>
    <row r="55" spans="1:10" x14ac:dyDescent="0.25">
      <c r="A55" s="1" t="s">
        <v>90</v>
      </c>
      <c r="B55" s="2" t="s">
        <v>91</v>
      </c>
      <c r="C55" s="2" t="s">
        <v>39</v>
      </c>
      <c r="D55" s="2" t="s">
        <v>3</v>
      </c>
      <c r="E55" s="2" t="s">
        <v>3</v>
      </c>
      <c r="F55" s="2" t="s">
        <v>149</v>
      </c>
      <c r="G55" s="2" t="s">
        <v>3</v>
      </c>
      <c r="H55" s="8">
        <v>81.200944090437702</v>
      </c>
      <c r="I55" s="8"/>
      <c r="J55" s="8"/>
    </row>
    <row r="56" spans="1:10" ht="22.5" x14ac:dyDescent="0.25">
      <c r="A56" s="11" t="s">
        <v>92</v>
      </c>
      <c r="B56" s="2" t="s">
        <v>55</v>
      </c>
      <c r="C56" s="2" t="s">
        <v>182</v>
      </c>
      <c r="D56" s="2" t="s">
        <v>16</v>
      </c>
      <c r="E56" s="2" t="s">
        <v>89</v>
      </c>
      <c r="F56" s="2" t="s">
        <v>223</v>
      </c>
      <c r="G56" s="2" t="s">
        <v>3</v>
      </c>
      <c r="H56" s="8">
        <v>-132.13243474356037</v>
      </c>
      <c r="I56" s="8"/>
      <c r="J56" s="8"/>
    </row>
    <row r="57" spans="1:10" x14ac:dyDescent="0.25">
      <c r="A57" s="1" t="s">
        <v>93</v>
      </c>
      <c r="B57" s="2" t="s">
        <v>3</v>
      </c>
      <c r="C57" s="2" t="s">
        <v>182</v>
      </c>
      <c r="D57" s="2" t="s">
        <v>214</v>
      </c>
      <c r="E57" s="2" t="s">
        <v>212</v>
      </c>
      <c r="F57" s="2" t="s">
        <v>202</v>
      </c>
      <c r="G57" s="2" t="s">
        <v>3</v>
      </c>
      <c r="H57" s="8">
        <v>78.430234315948809</v>
      </c>
      <c r="I57" s="8"/>
      <c r="J57" s="8"/>
    </row>
    <row r="58" spans="1:10" x14ac:dyDescent="0.25">
      <c r="A58" s="1" t="s">
        <v>94</v>
      </c>
      <c r="B58" s="2" t="s">
        <v>3</v>
      </c>
      <c r="C58" s="2" t="s">
        <v>183</v>
      </c>
      <c r="D58" s="2" t="s">
        <v>3</v>
      </c>
      <c r="E58" s="2" t="s">
        <v>87</v>
      </c>
      <c r="F58" s="2" t="s">
        <v>196</v>
      </c>
      <c r="G58" s="2" t="s">
        <v>3</v>
      </c>
      <c r="H58" s="8">
        <v>385.97653061224503</v>
      </c>
      <c r="I58" s="8"/>
      <c r="J58" s="8"/>
    </row>
    <row r="59" spans="1:10" x14ac:dyDescent="0.25">
      <c r="A59" s="1" t="s">
        <v>95</v>
      </c>
      <c r="B59" s="2" t="s">
        <v>3</v>
      </c>
      <c r="C59" s="2" t="s">
        <v>184</v>
      </c>
      <c r="D59" s="2" t="s">
        <v>70</v>
      </c>
      <c r="E59" s="2" t="s">
        <v>46</v>
      </c>
      <c r="F59" s="2" t="s">
        <v>216</v>
      </c>
      <c r="G59" s="2" t="s">
        <v>3</v>
      </c>
      <c r="H59" s="8">
        <v>489.88237476808945</v>
      </c>
      <c r="I59" s="8"/>
      <c r="J59" s="8"/>
    </row>
    <row r="60" spans="1:10" x14ac:dyDescent="0.25">
      <c r="A60" s="1" t="s">
        <v>96</v>
      </c>
      <c r="B60" s="2" t="s">
        <v>3</v>
      </c>
      <c r="C60" s="2" t="s">
        <v>185</v>
      </c>
      <c r="D60" s="2" t="s">
        <v>3</v>
      </c>
      <c r="E60" s="2" t="s">
        <v>166</v>
      </c>
      <c r="F60" s="2" t="s">
        <v>256</v>
      </c>
      <c r="G60" s="2" t="s">
        <v>3</v>
      </c>
      <c r="H60" s="8">
        <v>184.1512460593996</v>
      </c>
      <c r="I60" s="8"/>
      <c r="J60" s="8"/>
    </row>
    <row r="61" spans="1:10" x14ac:dyDescent="0.25">
      <c r="A61" s="1" t="s">
        <v>97</v>
      </c>
      <c r="B61" s="2" t="s">
        <v>3</v>
      </c>
      <c r="C61" s="2" t="s">
        <v>60</v>
      </c>
      <c r="D61" s="2" t="s">
        <v>3</v>
      </c>
      <c r="E61" s="2" t="s">
        <v>18</v>
      </c>
      <c r="F61" s="2" t="s">
        <v>206</v>
      </c>
      <c r="G61" s="2" t="s">
        <v>3</v>
      </c>
      <c r="H61" s="8">
        <v>147.00613587540249</v>
      </c>
      <c r="I61" s="8"/>
      <c r="J61" s="8"/>
    </row>
    <row r="62" spans="1:10" x14ac:dyDescent="0.25">
      <c r="A62" s="1" t="s">
        <v>98</v>
      </c>
      <c r="B62" s="2" t="s">
        <v>3</v>
      </c>
      <c r="C62" s="2" t="s">
        <v>77</v>
      </c>
      <c r="D62" s="2" t="s">
        <v>3</v>
      </c>
      <c r="E62" s="2" t="s">
        <v>3</v>
      </c>
      <c r="F62" s="2" t="s">
        <v>223</v>
      </c>
      <c r="G62" s="2" t="s">
        <v>3</v>
      </c>
      <c r="H62" s="8">
        <v>20.59047974559568</v>
      </c>
      <c r="I62" s="8"/>
      <c r="J62" s="8"/>
    </row>
    <row r="63" spans="1:10" ht="22.5" x14ac:dyDescent="0.25">
      <c r="A63" s="11" t="s">
        <v>99</v>
      </c>
      <c r="B63" s="2" t="s">
        <v>3</v>
      </c>
      <c r="C63" s="2" t="s">
        <v>3</v>
      </c>
      <c r="D63" s="2" t="s">
        <v>3</v>
      </c>
      <c r="E63" s="2" t="s">
        <v>3</v>
      </c>
      <c r="F63" s="2" t="s">
        <v>254</v>
      </c>
      <c r="G63" s="2" t="s">
        <v>3</v>
      </c>
      <c r="H63" s="8">
        <v>-82.106255075962309</v>
      </c>
      <c r="I63" s="8"/>
      <c r="J63" s="8"/>
    </row>
    <row r="64" spans="1:10" x14ac:dyDescent="0.25">
      <c r="A64" s="1" t="s">
        <v>100</v>
      </c>
      <c r="B64" s="2" t="s">
        <v>3</v>
      </c>
      <c r="C64" s="2" t="s">
        <v>186</v>
      </c>
      <c r="D64" s="2" t="s">
        <v>3</v>
      </c>
      <c r="E64" s="2" t="s">
        <v>3</v>
      </c>
      <c r="F64" s="2" t="s">
        <v>64</v>
      </c>
      <c r="G64" s="2" t="s">
        <v>3</v>
      </c>
      <c r="H64" s="8">
        <v>60.079008089722606</v>
      </c>
      <c r="I64" s="8"/>
      <c r="J64" s="8"/>
    </row>
    <row r="65" spans="1:10" x14ac:dyDescent="0.25">
      <c r="A65" s="1" t="s">
        <v>101</v>
      </c>
      <c r="B65" s="2" t="s">
        <v>102</v>
      </c>
      <c r="C65" s="2" t="s">
        <v>187</v>
      </c>
      <c r="D65" s="2" t="s">
        <v>3</v>
      </c>
      <c r="E65" s="2" t="s">
        <v>166</v>
      </c>
      <c r="F65" s="2" t="s">
        <v>225</v>
      </c>
      <c r="G65" s="2" t="s">
        <v>3</v>
      </c>
      <c r="H65" s="8">
        <v>118.95898675259559</v>
      </c>
      <c r="I65" s="8"/>
      <c r="J65" s="8"/>
    </row>
    <row r="66" spans="1:10" x14ac:dyDescent="0.25">
      <c r="A66" s="1" t="s">
        <v>103</v>
      </c>
      <c r="B66" s="2" t="s">
        <v>3</v>
      </c>
      <c r="C66" s="2" t="s">
        <v>188</v>
      </c>
      <c r="D66" s="2" t="s">
        <v>39</v>
      </c>
      <c r="E66" s="2" t="s">
        <v>46</v>
      </c>
      <c r="F66" s="2" t="s">
        <v>257</v>
      </c>
      <c r="G66" s="2" t="s">
        <v>3</v>
      </c>
      <c r="H66" s="8">
        <v>79.454514956667623</v>
      </c>
      <c r="I66" s="8"/>
      <c r="J66" s="8"/>
    </row>
    <row r="67" spans="1:10" x14ac:dyDescent="0.25">
      <c r="A67" s="1" t="s">
        <v>104</v>
      </c>
      <c r="B67" s="2" t="s">
        <v>102</v>
      </c>
      <c r="C67" s="2" t="s">
        <v>152</v>
      </c>
      <c r="D67" s="2" t="s">
        <v>232</v>
      </c>
      <c r="E67" s="2" t="s">
        <v>3</v>
      </c>
      <c r="F67" s="2" t="s">
        <v>210</v>
      </c>
      <c r="G67" s="2" t="s">
        <v>3</v>
      </c>
      <c r="H67" s="8">
        <v>41.014409400123789</v>
      </c>
      <c r="I67" s="8"/>
      <c r="J67" s="8"/>
    </row>
    <row r="68" spans="1:10" ht="22.5" x14ac:dyDescent="0.25">
      <c r="A68" s="11" t="s">
        <v>105</v>
      </c>
      <c r="B68" s="2" t="s">
        <v>34</v>
      </c>
      <c r="C68" s="2" t="s">
        <v>87</v>
      </c>
      <c r="D68" s="2" t="s">
        <v>3</v>
      </c>
      <c r="E68" s="2" t="s">
        <v>3</v>
      </c>
      <c r="F68" s="2" t="s">
        <v>172</v>
      </c>
      <c r="G68" s="2" t="s">
        <v>3</v>
      </c>
      <c r="H68" s="8">
        <v>145.11196201252761</v>
      </c>
      <c r="I68" s="8"/>
      <c r="J68" s="8"/>
    </row>
    <row r="69" spans="1:10" x14ac:dyDescent="0.25">
      <c r="A69" s="1" t="s">
        <v>106</v>
      </c>
      <c r="B69" s="2" t="s">
        <v>3</v>
      </c>
      <c r="C69" s="2" t="s">
        <v>189</v>
      </c>
      <c r="D69" s="2" t="s">
        <v>3</v>
      </c>
      <c r="E69" s="2" t="s">
        <v>3</v>
      </c>
      <c r="F69" s="2" t="s">
        <v>258</v>
      </c>
      <c r="G69" s="2" t="s">
        <v>3</v>
      </c>
      <c r="H69" s="8">
        <v>99.054238066534595</v>
      </c>
      <c r="I69" s="8"/>
      <c r="J69" s="8"/>
    </row>
    <row r="70" spans="1:10" x14ac:dyDescent="0.25">
      <c r="A70" s="1" t="s">
        <v>107</v>
      </c>
      <c r="B70" s="2" t="s">
        <v>22</v>
      </c>
      <c r="C70" s="2" t="s">
        <v>87</v>
      </c>
      <c r="D70" s="2" t="s">
        <v>3</v>
      </c>
      <c r="E70" s="2" t="s">
        <v>3</v>
      </c>
      <c r="F70" s="2" t="s">
        <v>211</v>
      </c>
      <c r="G70" s="2" t="s">
        <v>3</v>
      </c>
      <c r="H70" s="8">
        <v>153.91819727891161</v>
      </c>
      <c r="I70" s="8"/>
      <c r="J70" s="8"/>
    </row>
    <row r="71" spans="1:10" x14ac:dyDescent="0.25">
      <c r="A71" s="1" t="s">
        <v>108</v>
      </c>
      <c r="B71" s="2" t="s">
        <v>3</v>
      </c>
      <c r="C71" s="2" t="s">
        <v>64</v>
      </c>
      <c r="D71" s="2" t="s">
        <v>3</v>
      </c>
      <c r="E71" s="2" t="s">
        <v>3</v>
      </c>
      <c r="F71" s="2" t="s">
        <v>3</v>
      </c>
      <c r="G71" s="2" t="s">
        <v>3</v>
      </c>
      <c r="H71" s="8">
        <v>60.252392681210608</v>
      </c>
      <c r="I71" s="8"/>
      <c r="J71" s="8"/>
    </row>
    <row r="72" spans="1:10" x14ac:dyDescent="0.25">
      <c r="A72" s="1" t="s">
        <v>109</v>
      </c>
      <c r="B72" s="2" t="s">
        <v>110</v>
      </c>
      <c r="C72" s="2" t="s">
        <v>190</v>
      </c>
      <c r="D72" s="2" t="s">
        <v>4</v>
      </c>
      <c r="E72" s="2" t="s">
        <v>165</v>
      </c>
      <c r="F72" s="2" t="s">
        <v>249</v>
      </c>
      <c r="G72" s="2" t="s">
        <v>3</v>
      </c>
      <c r="H72" s="8">
        <v>56.059351125065383</v>
      </c>
      <c r="I72" s="8"/>
      <c r="J72" s="8"/>
    </row>
    <row r="73" spans="1:10" x14ac:dyDescent="0.25">
      <c r="A73" s="1" t="s">
        <v>111</v>
      </c>
      <c r="B73" s="2" t="s">
        <v>112</v>
      </c>
      <c r="C73" s="2" t="s">
        <v>191</v>
      </c>
      <c r="D73" s="2" t="s">
        <v>3</v>
      </c>
      <c r="E73" s="2" t="s">
        <v>77</v>
      </c>
      <c r="F73" s="2" t="s">
        <v>193</v>
      </c>
      <c r="G73" s="2" t="s">
        <v>3</v>
      </c>
      <c r="H73" s="8">
        <v>92.311331655950596</v>
      </c>
      <c r="I73" s="8"/>
      <c r="J73" s="8"/>
    </row>
    <row r="74" spans="1:10" x14ac:dyDescent="0.25">
      <c r="A74" s="1" t="s">
        <v>113</v>
      </c>
      <c r="B74" s="2" t="s">
        <v>3</v>
      </c>
      <c r="C74" s="2" t="s">
        <v>193</v>
      </c>
      <c r="D74" s="2" t="s">
        <v>3</v>
      </c>
      <c r="E74" s="2" t="s">
        <v>167</v>
      </c>
      <c r="F74" s="2" t="s">
        <v>249</v>
      </c>
      <c r="G74" s="2" t="s">
        <v>3</v>
      </c>
      <c r="H74" s="8">
        <v>938.90708616779796</v>
      </c>
      <c r="I74" s="8"/>
      <c r="J74" s="8"/>
    </row>
    <row r="75" spans="1:10" x14ac:dyDescent="0.25">
      <c r="A75" s="1" t="s">
        <v>114</v>
      </c>
      <c r="B75" s="2" t="s">
        <v>115</v>
      </c>
      <c r="C75" s="2" t="s">
        <v>170</v>
      </c>
      <c r="D75" s="2" t="s">
        <v>13</v>
      </c>
      <c r="E75" s="2" t="s">
        <v>168</v>
      </c>
      <c r="F75" s="2" t="s">
        <v>32</v>
      </c>
      <c r="G75" s="2" t="s">
        <v>3</v>
      </c>
      <c r="H75" s="8">
        <v>204.833146307265</v>
      </c>
      <c r="I75" s="8"/>
      <c r="J75" s="8"/>
    </row>
    <row r="76" spans="1:10" x14ac:dyDescent="0.25">
      <c r="A76" s="1" t="s">
        <v>116</v>
      </c>
      <c r="B76" s="2" t="s">
        <v>3</v>
      </c>
      <c r="C76" s="2" t="s">
        <v>3</v>
      </c>
      <c r="D76" s="2" t="s">
        <v>3</v>
      </c>
      <c r="E76" s="2" t="s">
        <v>3</v>
      </c>
      <c r="F76" s="2" t="s">
        <v>79</v>
      </c>
      <c r="G76" s="2" t="s">
        <v>3</v>
      </c>
      <c r="H76" s="8">
        <v>43.990633176347494</v>
      </c>
      <c r="I76" s="8"/>
      <c r="J76" s="8"/>
    </row>
    <row r="77" spans="1:10" x14ac:dyDescent="0.25">
      <c r="A77" s="1" t="s">
        <v>117</v>
      </c>
      <c r="B77" s="2" t="s">
        <v>3</v>
      </c>
      <c r="C77" s="2" t="s">
        <v>157</v>
      </c>
      <c r="D77" s="2" t="s">
        <v>232</v>
      </c>
      <c r="E77" s="2" t="s">
        <v>3</v>
      </c>
      <c r="F77" s="2" t="s">
        <v>162</v>
      </c>
      <c r="G77" s="2" t="s">
        <v>3</v>
      </c>
      <c r="H77" s="8">
        <v>364.64014849842363</v>
      </c>
      <c r="I77" s="8"/>
      <c r="J77" s="8"/>
    </row>
    <row r="78" spans="1:10" ht="22.5" x14ac:dyDescent="0.25">
      <c r="A78" s="11" t="s">
        <v>118</v>
      </c>
      <c r="B78" s="2" t="s">
        <v>87</v>
      </c>
      <c r="C78" s="2" t="s">
        <v>6</v>
      </c>
      <c r="D78" s="2" t="s">
        <v>213</v>
      </c>
      <c r="E78" s="2" t="s">
        <v>217</v>
      </c>
      <c r="F78" s="2" t="s">
        <v>246</v>
      </c>
      <c r="G78" s="2" t="s">
        <v>53</v>
      </c>
      <c r="H78" s="8">
        <v>78.591915227629613</v>
      </c>
      <c r="I78" s="8"/>
      <c r="J78" s="8"/>
    </row>
    <row r="79" spans="1:10" x14ac:dyDescent="0.25">
      <c r="A79" s="1" t="s">
        <v>119</v>
      </c>
      <c r="B79" s="2" t="s">
        <v>120</v>
      </c>
      <c r="C79" s="7" t="s">
        <v>194</v>
      </c>
      <c r="D79" s="2" t="s">
        <v>3</v>
      </c>
      <c r="E79" s="2" t="s">
        <v>3</v>
      </c>
      <c r="F79" s="2" t="s">
        <v>183</v>
      </c>
      <c r="G79" s="2" t="s">
        <v>3</v>
      </c>
      <c r="H79" s="8">
        <v>-32.227454895001429</v>
      </c>
      <c r="I79" s="8"/>
      <c r="J79" s="8"/>
    </row>
    <row r="80" spans="1:10" x14ac:dyDescent="0.25">
      <c r="A80" s="1" t="s">
        <v>121</v>
      </c>
      <c r="B80" s="2" t="s">
        <v>3</v>
      </c>
      <c r="C80" s="6" t="s">
        <v>195</v>
      </c>
      <c r="D80" s="2" t="s">
        <v>3</v>
      </c>
      <c r="E80" s="2" t="s">
        <v>3</v>
      </c>
      <c r="F80" s="3" t="s">
        <v>259</v>
      </c>
      <c r="G80" s="2" t="s">
        <v>3</v>
      </c>
      <c r="H80" s="8">
        <v>-55.257596371882414</v>
      </c>
      <c r="I80" s="8"/>
      <c r="J80" s="8"/>
    </row>
    <row r="81" spans="1:10" x14ac:dyDescent="0.25">
      <c r="A81" s="1" t="s">
        <v>122</v>
      </c>
      <c r="B81" s="2" t="s">
        <v>3</v>
      </c>
      <c r="C81" s="2" t="s">
        <v>196</v>
      </c>
      <c r="D81" s="2" t="s">
        <v>13</v>
      </c>
      <c r="E81" s="2" t="s">
        <v>209</v>
      </c>
      <c r="F81" s="2" t="s">
        <v>243</v>
      </c>
      <c r="G81" s="2" t="s">
        <v>3</v>
      </c>
      <c r="H81" s="8">
        <v>8.5367279232279003</v>
      </c>
      <c r="I81" s="8"/>
      <c r="J81" s="8"/>
    </row>
    <row r="82" spans="1:10" x14ac:dyDescent="0.25">
      <c r="A82" s="1" t="s">
        <v>123</v>
      </c>
      <c r="B82" s="2" t="s">
        <v>3</v>
      </c>
      <c r="C82" s="2" t="s">
        <v>176</v>
      </c>
      <c r="D82" s="2" t="s">
        <v>168</v>
      </c>
      <c r="E82" s="2" t="s">
        <v>245</v>
      </c>
      <c r="F82" s="2" t="s">
        <v>206</v>
      </c>
      <c r="G82" s="2" t="s">
        <v>3</v>
      </c>
      <c r="H82" s="8">
        <v>-121.04013605442171</v>
      </c>
      <c r="I82" s="8"/>
      <c r="J82" s="8"/>
    </row>
    <row r="83" spans="1:10" x14ac:dyDescent="0.25">
      <c r="A83" s="1" t="s">
        <v>124</v>
      </c>
      <c r="B83" s="2" t="s">
        <v>3</v>
      </c>
      <c r="C83" s="2" t="s">
        <v>174</v>
      </c>
      <c r="D83" s="2" t="s">
        <v>70</v>
      </c>
      <c r="E83" s="2" t="s">
        <v>3</v>
      </c>
      <c r="F83" s="2" t="s">
        <v>3</v>
      </c>
      <c r="G83" s="2" t="s">
        <v>3</v>
      </c>
      <c r="H83" s="8">
        <v>207.96011647083051</v>
      </c>
      <c r="I83" s="8"/>
      <c r="J83" s="8"/>
    </row>
    <row r="84" spans="1:10" x14ac:dyDescent="0.25">
      <c r="A84" s="1" t="s">
        <v>125</v>
      </c>
      <c r="B84" s="2" t="s">
        <v>3</v>
      </c>
      <c r="C84" s="2" t="s">
        <v>197</v>
      </c>
      <c r="D84" s="2" t="s">
        <v>3</v>
      </c>
      <c r="E84" s="2" t="s">
        <v>3</v>
      </c>
      <c r="F84" s="2" t="s">
        <v>7</v>
      </c>
      <c r="G84" s="2" t="s">
        <v>3</v>
      </c>
      <c r="H84" s="8">
        <v>98.41936006960961</v>
      </c>
      <c r="I84" s="8"/>
      <c r="J84" s="8"/>
    </row>
    <row r="85" spans="1:10" ht="22.5" x14ac:dyDescent="0.25">
      <c r="A85" s="1" t="s">
        <v>126</v>
      </c>
      <c r="B85" s="2" t="s">
        <v>127</v>
      </c>
      <c r="C85" s="2" t="s">
        <v>198</v>
      </c>
      <c r="D85" s="2" t="s">
        <v>233</v>
      </c>
      <c r="E85" s="2" t="s">
        <v>3</v>
      </c>
      <c r="F85" s="7" t="s">
        <v>260</v>
      </c>
      <c r="G85" s="7" t="s">
        <v>280</v>
      </c>
      <c r="H85" s="8">
        <v>164.9396258503406</v>
      </c>
      <c r="I85" s="8"/>
      <c r="J85" s="8"/>
    </row>
    <row r="86" spans="1:10" ht="22.5" x14ac:dyDescent="0.25">
      <c r="A86" s="1" t="s">
        <v>128</v>
      </c>
      <c r="B86" s="3" t="s">
        <v>129</v>
      </c>
      <c r="C86" s="7" t="s">
        <v>199</v>
      </c>
      <c r="D86" s="3" t="s">
        <v>234</v>
      </c>
      <c r="E86" s="3" t="s">
        <v>289</v>
      </c>
      <c r="F86" s="6" t="s">
        <v>261</v>
      </c>
      <c r="G86" s="2" t="s">
        <v>3</v>
      </c>
      <c r="H86" s="8">
        <v>139.4566119130576</v>
      </c>
      <c r="I86" s="8"/>
      <c r="J86" s="8"/>
    </row>
    <row r="87" spans="1:10" ht="22.5" x14ac:dyDescent="0.25">
      <c r="A87" s="1" t="s">
        <v>130</v>
      </c>
      <c r="B87" s="2" t="s">
        <v>131</v>
      </c>
      <c r="C87" s="2" t="s">
        <v>200</v>
      </c>
      <c r="D87" s="2" t="s">
        <v>235</v>
      </c>
      <c r="E87" s="3" t="s">
        <v>290</v>
      </c>
      <c r="F87" s="2" t="s">
        <v>247</v>
      </c>
      <c r="G87" s="2" t="s">
        <v>3</v>
      </c>
      <c r="H87" s="8">
        <v>148.3392757102846</v>
      </c>
      <c r="I87" s="8"/>
      <c r="J87" s="8"/>
    </row>
    <row r="88" spans="1:10" ht="22.5" x14ac:dyDescent="0.25">
      <c r="A88" s="1" t="s">
        <v>132</v>
      </c>
      <c r="B88" s="3" t="s">
        <v>133</v>
      </c>
      <c r="C88" s="2" t="s">
        <v>3</v>
      </c>
      <c r="D88" s="7" t="s">
        <v>236</v>
      </c>
      <c r="E88" s="3" t="s">
        <v>291</v>
      </c>
      <c r="F88" s="3" t="s">
        <v>262</v>
      </c>
      <c r="G88" s="2" t="s">
        <v>3</v>
      </c>
      <c r="H88" s="8">
        <v>53.103342206447621</v>
      </c>
      <c r="I88" s="8"/>
      <c r="J88" s="8"/>
    </row>
    <row r="89" spans="1:10" ht="22.5" x14ac:dyDescent="0.25">
      <c r="A89" s="1" t="s">
        <v>134</v>
      </c>
      <c r="B89" s="2" t="s">
        <v>3</v>
      </c>
      <c r="C89" s="2" t="s">
        <v>22</v>
      </c>
      <c r="D89" s="2" t="s">
        <v>131</v>
      </c>
      <c r="E89" s="3" t="s">
        <v>292</v>
      </c>
      <c r="F89" s="2" t="s">
        <v>263</v>
      </c>
      <c r="G89" s="2" t="s">
        <v>3</v>
      </c>
      <c r="H89" s="8">
        <v>379.60651249630263</v>
      </c>
      <c r="I89" s="8"/>
      <c r="J89" s="8"/>
    </row>
    <row r="90" spans="1:10" ht="22.5" x14ac:dyDescent="0.25">
      <c r="A90" s="1" t="s">
        <v>135</v>
      </c>
      <c r="B90" s="2" t="s">
        <v>77</v>
      </c>
      <c r="C90" s="2" t="s">
        <v>201</v>
      </c>
      <c r="D90" s="2" t="s">
        <v>3</v>
      </c>
      <c r="E90" s="2" t="s">
        <v>3</v>
      </c>
      <c r="F90" s="2" t="s">
        <v>264</v>
      </c>
      <c r="G90" s="2" t="s">
        <v>3</v>
      </c>
      <c r="H90" s="8">
        <v>248.76224489795857</v>
      </c>
      <c r="I90" s="8"/>
      <c r="J90" s="8"/>
    </row>
    <row r="91" spans="1:10" ht="22.5" x14ac:dyDescent="0.25">
      <c r="A91" s="1" t="s">
        <v>136</v>
      </c>
      <c r="B91" s="2" t="s">
        <v>46</v>
      </c>
      <c r="C91" s="2" t="s">
        <v>181</v>
      </c>
      <c r="D91" s="2" t="s">
        <v>3</v>
      </c>
      <c r="E91" s="2" t="s">
        <v>168</v>
      </c>
      <c r="F91" s="2" t="s">
        <v>265</v>
      </c>
      <c r="G91" s="2" t="s">
        <v>3</v>
      </c>
      <c r="H91" s="8">
        <v>67.873751003367602</v>
      </c>
      <c r="I91" s="8"/>
      <c r="J91" s="8"/>
    </row>
    <row r="92" spans="1:10" ht="22.5" x14ac:dyDescent="0.25">
      <c r="A92" s="1" t="s">
        <v>137</v>
      </c>
      <c r="B92" s="2" t="s">
        <v>3</v>
      </c>
      <c r="C92" s="2" t="s">
        <v>202</v>
      </c>
      <c r="D92" s="2" t="s">
        <v>3</v>
      </c>
      <c r="E92" s="2" t="s">
        <v>3</v>
      </c>
      <c r="F92" s="2" t="s">
        <v>266</v>
      </c>
      <c r="G92" s="2" t="s">
        <v>3</v>
      </c>
      <c r="H92" s="8">
        <v>311.49210795429258</v>
      </c>
      <c r="I92" s="8"/>
      <c r="J92" s="8"/>
    </row>
    <row r="93" spans="1:10" ht="22.5" x14ac:dyDescent="0.25">
      <c r="A93" s="9" t="s">
        <v>138</v>
      </c>
      <c r="B93" s="2" t="s">
        <v>3</v>
      </c>
      <c r="C93" s="2" t="s">
        <v>203</v>
      </c>
      <c r="D93" s="2" t="s">
        <v>3</v>
      </c>
      <c r="E93" s="2" t="s">
        <v>3</v>
      </c>
      <c r="F93" s="2" t="s">
        <v>267</v>
      </c>
      <c r="G93" s="2" t="s">
        <v>3</v>
      </c>
      <c r="H93" s="8">
        <v>94.678911564625594</v>
      </c>
      <c r="I93" s="8"/>
      <c r="J93" s="8"/>
    </row>
    <row r="94" spans="1:10" ht="22.5" x14ac:dyDescent="0.25">
      <c r="A94" s="9" t="s">
        <v>139</v>
      </c>
      <c r="B94" s="2" t="s">
        <v>3</v>
      </c>
      <c r="C94" s="2" t="s">
        <v>204</v>
      </c>
      <c r="D94" s="2" t="s">
        <v>3</v>
      </c>
      <c r="E94" s="2" t="s">
        <v>3</v>
      </c>
      <c r="F94" s="2" t="s">
        <v>268</v>
      </c>
      <c r="G94" s="2" t="s">
        <v>3</v>
      </c>
      <c r="H94" s="8">
        <v>276.47700680272158</v>
      </c>
      <c r="I94" s="8"/>
      <c r="J94" s="8"/>
    </row>
    <row r="95" spans="1:10" ht="22.5" x14ac:dyDescent="0.25">
      <c r="A95" s="1" t="s">
        <v>140</v>
      </c>
      <c r="B95" s="2" t="s">
        <v>3</v>
      </c>
      <c r="C95" s="2" t="s">
        <v>201</v>
      </c>
      <c r="D95" s="2" t="s">
        <v>3</v>
      </c>
      <c r="E95" s="2" t="s">
        <v>211</v>
      </c>
      <c r="F95" s="2" t="s">
        <v>269</v>
      </c>
      <c r="G95" s="7" t="s">
        <v>281</v>
      </c>
      <c r="H95" s="8">
        <v>83.982670963122615</v>
      </c>
      <c r="I95" s="8"/>
      <c r="J95" s="8"/>
    </row>
    <row r="96" spans="1:10" ht="22.5" x14ac:dyDescent="0.25">
      <c r="A96" s="1" t="s">
        <v>141</v>
      </c>
      <c r="B96" s="2" t="s">
        <v>37</v>
      </c>
      <c r="C96" s="2" t="s">
        <v>205</v>
      </c>
      <c r="D96" s="2" t="s">
        <v>3</v>
      </c>
      <c r="E96" s="2" t="s">
        <v>3</v>
      </c>
      <c r="F96" s="2" t="s">
        <v>270</v>
      </c>
      <c r="G96" s="2" t="s">
        <v>3</v>
      </c>
      <c r="H96" s="8">
        <v>1657.2628175320699</v>
      </c>
      <c r="I96" s="8"/>
      <c r="J96" s="8"/>
    </row>
    <row r="97" spans="1:10" ht="22.5" x14ac:dyDescent="0.25">
      <c r="A97" s="1" t="s">
        <v>142</v>
      </c>
      <c r="B97" s="3" t="s">
        <v>143</v>
      </c>
      <c r="C97" s="2" t="s">
        <v>3</v>
      </c>
      <c r="D97" s="7" t="s">
        <v>237</v>
      </c>
      <c r="E97" s="3" t="s">
        <v>293</v>
      </c>
      <c r="F97" s="3" t="s">
        <v>271</v>
      </c>
      <c r="G97" s="2" t="s">
        <v>282</v>
      </c>
      <c r="H97" s="8">
        <v>240.55611019182456</v>
      </c>
      <c r="I97" s="8"/>
      <c r="J97" s="8"/>
    </row>
    <row r="98" spans="1:10" ht="22.5" x14ac:dyDescent="0.25">
      <c r="A98" s="1" t="s">
        <v>144</v>
      </c>
      <c r="B98" s="2" t="s">
        <v>39</v>
      </c>
      <c r="C98" s="2" t="s">
        <v>192</v>
      </c>
      <c r="D98" s="2" t="s">
        <v>3</v>
      </c>
      <c r="E98" s="2" t="s">
        <v>3</v>
      </c>
      <c r="F98" s="2" t="s">
        <v>272</v>
      </c>
      <c r="G98" s="2" t="s">
        <v>3</v>
      </c>
      <c r="H98" s="8">
        <v>199.38764172335655</v>
      </c>
      <c r="I98" s="8"/>
      <c r="J98" s="8"/>
    </row>
    <row r="99" spans="1:10" ht="22.5" x14ac:dyDescent="0.25">
      <c r="A99" s="1" t="s">
        <v>145</v>
      </c>
      <c r="B99" s="2" t="s">
        <v>146</v>
      </c>
      <c r="C99" s="2" t="s">
        <v>3</v>
      </c>
      <c r="D99" s="6" t="s">
        <v>238</v>
      </c>
      <c r="E99" s="3" t="s">
        <v>294</v>
      </c>
      <c r="F99" s="2" t="s">
        <v>273</v>
      </c>
      <c r="G99" s="2" t="s">
        <v>3</v>
      </c>
      <c r="H99" s="8">
        <v>87.666762423443544</v>
      </c>
      <c r="I99" s="8"/>
      <c r="J99" s="8"/>
    </row>
    <row r="100" spans="1:10" ht="22.5" x14ac:dyDescent="0.25">
      <c r="A100" s="4" t="s">
        <v>147</v>
      </c>
      <c r="B100" s="5" t="s">
        <v>148</v>
      </c>
      <c r="C100" s="5" t="s">
        <v>206</v>
      </c>
      <c r="D100" s="5" t="s">
        <v>181</v>
      </c>
      <c r="E100" s="10" t="s">
        <v>295</v>
      </c>
      <c r="F100" s="5" t="s">
        <v>274</v>
      </c>
      <c r="G100" s="5" t="s">
        <v>3</v>
      </c>
      <c r="H100" s="8">
        <v>592.10569727891163</v>
      </c>
      <c r="I100" s="8"/>
      <c r="J100" s="8"/>
    </row>
  </sheetData>
  <conditionalFormatting sqref="H4:J16">
    <cfRule type="cellIs" dxfId="107" priority="106" stopIfTrue="1" operator="between">
      <formula>500</formula>
      <formula>999.999</formula>
    </cfRule>
    <cfRule type="cellIs" dxfId="106" priority="107" stopIfTrue="1" operator="between">
      <formula>1000</formula>
      <formula>2999.999</formula>
    </cfRule>
    <cfRule type="cellIs" dxfId="105" priority="108" stopIfTrue="1" operator="greaterThanOrEqual">
      <formula>3000</formula>
    </cfRule>
  </conditionalFormatting>
  <conditionalFormatting sqref="H17:J22">
    <cfRule type="cellIs" dxfId="104" priority="103" stopIfTrue="1" operator="between">
      <formula>500</formula>
      <formula>999.999</formula>
    </cfRule>
    <cfRule type="cellIs" dxfId="103" priority="104" stopIfTrue="1" operator="between">
      <formula>1000</formula>
      <formula>2999.999</formula>
    </cfRule>
    <cfRule type="cellIs" dxfId="102" priority="105" stopIfTrue="1" operator="greaterThanOrEqual">
      <formula>3000</formula>
    </cfRule>
  </conditionalFormatting>
  <conditionalFormatting sqref="H24:J36">
    <cfRule type="cellIs" dxfId="101" priority="100" stopIfTrue="1" operator="between">
      <formula>500</formula>
      <formula>999.999</formula>
    </cfRule>
    <cfRule type="cellIs" dxfId="100" priority="101" stopIfTrue="1" operator="between">
      <formula>1000</formula>
      <formula>2999.999</formula>
    </cfRule>
    <cfRule type="cellIs" dxfId="99" priority="102" stopIfTrue="1" operator="greaterThanOrEqual">
      <formula>3000</formula>
    </cfRule>
  </conditionalFormatting>
  <conditionalFormatting sqref="H38:J38">
    <cfRule type="cellIs" dxfId="98" priority="97" stopIfTrue="1" operator="between">
      <formula>500</formula>
      <formula>999.999</formula>
    </cfRule>
    <cfRule type="cellIs" dxfId="97" priority="98" stopIfTrue="1" operator="between">
      <formula>1000</formula>
      <formula>2999.999</formula>
    </cfRule>
    <cfRule type="cellIs" dxfId="96" priority="99" stopIfTrue="1" operator="greaterThanOrEqual">
      <formula>3000</formula>
    </cfRule>
  </conditionalFormatting>
  <conditionalFormatting sqref="H39:J39">
    <cfRule type="cellIs" dxfId="95" priority="94" stopIfTrue="1" operator="between">
      <formula>500</formula>
      <formula>999.999</formula>
    </cfRule>
    <cfRule type="cellIs" dxfId="94" priority="95" stopIfTrue="1" operator="between">
      <formula>1000</formula>
      <formula>2999.999</formula>
    </cfRule>
    <cfRule type="cellIs" dxfId="93" priority="96" stopIfTrue="1" operator="greaterThanOrEqual">
      <formula>3000</formula>
    </cfRule>
  </conditionalFormatting>
  <conditionalFormatting sqref="H41:J41">
    <cfRule type="cellIs" dxfId="92" priority="91" stopIfTrue="1" operator="between">
      <formula>500</formula>
      <formula>999.999</formula>
    </cfRule>
    <cfRule type="cellIs" dxfId="91" priority="92" stopIfTrue="1" operator="between">
      <formula>1000</formula>
      <formula>2999.999</formula>
    </cfRule>
    <cfRule type="cellIs" dxfId="90" priority="93" stopIfTrue="1" operator="greaterThanOrEqual">
      <formula>3000</formula>
    </cfRule>
  </conditionalFormatting>
  <conditionalFormatting sqref="H42:J45">
    <cfRule type="cellIs" dxfId="89" priority="88" stopIfTrue="1" operator="between">
      <formula>500</formula>
      <formula>999.999</formula>
    </cfRule>
    <cfRule type="cellIs" dxfId="88" priority="89" stopIfTrue="1" operator="between">
      <formula>1000</formula>
      <formula>2999.999</formula>
    </cfRule>
    <cfRule type="cellIs" dxfId="87" priority="90" stopIfTrue="1" operator="greaterThanOrEqual">
      <formula>3000</formula>
    </cfRule>
  </conditionalFormatting>
  <conditionalFormatting sqref="H46:J50">
    <cfRule type="cellIs" dxfId="86" priority="85" stopIfTrue="1" operator="between">
      <formula>500</formula>
      <formula>999.999</formula>
    </cfRule>
    <cfRule type="cellIs" dxfId="85" priority="86" stopIfTrue="1" operator="between">
      <formula>1000</formula>
      <formula>2999.999</formula>
    </cfRule>
    <cfRule type="cellIs" dxfId="84" priority="87" stopIfTrue="1" operator="greaterThanOrEqual">
      <formula>3000</formula>
    </cfRule>
  </conditionalFormatting>
  <conditionalFormatting sqref="H51:J51">
    <cfRule type="cellIs" dxfId="83" priority="82" stopIfTrue="1" operator="between">
      <formula>500</formula>
      <formula>999.999</formula>
    </cfRule>
    <cfRule type="cellIs" dxfId="82" priority="83" stopIfTrue="1" operator="between">
      <formula>1000</formula>
      <formula>2999.999</formula>
    </cfRule>
    <cfRule type="cellIs" dxfId="81" priority="84" stopIfTrue="1" operator="greaterThanOrEqual">
      <formula>3000</formula>
    </cfRule>
  </conditionalFormatting>
  <conditionalFormatting sqref="H52:J53">
    <cfRule type="cellIs" dxfId="80" priority="79" stopIfTrue="1" operator="between">
      <formula>500</formula>
      <formula>999.999</formula>
    </cfRule>
    <cfRule type="cellIs" dxfId="79" priority="80" stopIfTrue="1" operator="between">
      <formula>1000</formula>
      <formula>2999.999</formula>
    </cfRule>
    <cfRule type="cellIs" dxfId="78" priority="81" stopIfTrue="1" operator="greaterThanOrEqual">
      <formula>3000</formula>
    </cfRule>
  </conditionalFormatting>
  <conditionalFormatting sqref="H54:J54">
    <cfRule type="cellIs" dxfId="77" priority="76" stopIfTrue="1" operator="between">
      <formula>500</formula>
      <formula>999.999</formula>
    </cfRule>
    <cfRule type="cellIs" dxfId="76" priority="77" stopIfTrue="1" operator="between">
      <formula>1000</formula>
      <formula>2999.999</formula>
    </cfRule>
    <cfRule type="cellIs" dxfId="75" priority="78" stopIfTrue="1" operator="greaterThanOrEqual">
      <formula>3000</formula>
    </cfRule>
  </conditionalFormatting>
  <conditionalFormatting sqref="H55:J63">
    <cfRule type="cellIs" dxfId="74" priority="73" stopIfTrue="1" operator="between">
      <formula>500</formula>
      <formula>999.999</formula>
    </cfRule>
    <cfRule type="cellIs" dxfId="73" priority="74" stopIfTrue="1" operator="between">
      <formula>1000</formula>
      <formula>2999.999</formula>
    </cfRule>
    <cfRule type="cellIs" dxfId="72" priority="75" stopIfTrue="1" operator="greaterThanOrEqual">
      <formula>3000</formula>
    </cfRule>
  </conditionalFormatting>
  <conditionalFormatting sqref="H64:J66">
    <cfRule type="cellIs" dxfId="71" priority="70" stopIfTrue="1" operator="between">
      <formula>500</formula>
      <formula>999.999</formula>
    </cfRule>
    <cfRule type="cellIs" dxfId="70" priority="71" stopIfTrue="1" operator="between">
      <formula>1000</formula>
      <formula>2999.999</formula>
    </cfRule>
    <cfRule type="cellIs" dxfId="69" priority="72" stopIfTrue="1" operator="greaterThanOrEqual">
      <formula>3000</formula>
    </cfRule>
  </conditionalFormatting>
  <conditionalFormatting sqref="H67:J68">
    <cfRule type="cellIs" dxfId="68" priority="67" stopIfTrue="1" operator="between">
      <formula>500</formula>
      <formula>999.999</formula>
    </cfRule>
    <cfRule type="cellIs" dxfId="67" priority="68" stopIfTrue="1" operator="between">
      <formula>1000</formula>
      <formula>2999.999</formula>
    </cfRule>
    <cfRule type="cellIs" dxfId="66" priority="69" stopIfTrue="1" operator="greaterThanOrEqual">
      <formula>3000</formula>
    </cfRule>
  </conditionalFormatting>
  <conditionalFormatting sqref="H70:J70">
    <cfRule type="cellIs" dxfId="65" priority="64" stopIfTrue="1" operator="between">
      <formula>500</formula>
      <formula>999.999</formula>
    </cfRule>
    <cfRule type="cellIs" dxfId="64" priority="65" stopIfTrue="1" operator="between">
      <formula>1000</formula>
      <formula>2999.999</formula>
    </cfRule>
    <cfRule type="cellIs" dxfId="63" priority="66" stopIfTrue="1" operator="greaterThanOrEqual">
      <formula>3000</formula>
    </cfRule>
  </conditionalFormatting>
  <conditionalFormatting sqref="H71:J71">
    <cfRule type="cellIs" dxfId="62" priority="61" stopIfTrue="1" operator="between">
      <formula>500</formula>
      <formula>999.999</formula>
    </cfRule>
    <cfRule type="cellIs" dxfId="61" priority="62" stopIfTrue="1" operator="between">
      <formula>1000</formula>
      <formula>2999.999</formula>
    </cfRule>
    <cfRule type="cellIs" dxfId="60" priority="63" stopIfTrue="1" operator="greaterThanOrEqual">
      <formula>3000</formula>
    </cfRule>
  </conditionalFormatting>
  <conditionalFormatting sqref="H72:J72">
    <cfRule type="cellIs" dxfId="59" priority="58" stopIfTrue="1" operator="between">
      <formula>500</formula>
      <formula>999.999</formula>
    </cfRule>
    <cfRule type="cellIs" dxfId="58" priority="59" stopIfTrue="1" operator="between">
      <formula>1000</formula>
      <formula>2999.999</formula>
    </cfRule>
    <cfRule type="cellIs" dxfId="57" priority="60" stopIfTrue="1" operator="greaterThanOrEqual">
      <formula>3000</formula>
    </cfRule>
  </conditionalFormatting>
  <conditionalFormatting sqref="H73:J73">
    <cfRule type="cellIs" dxfId="56" priority="55" stopIfTrue="1" operator="between">
      <formula>500</formula>
      <formula>999.999</formula>
    </cfRule>
    <cfRule type="cellIs" dxfId="55" priority="56" stopIfTrue="1" operator="between">
      <formula>1000</formula>
      <formula>2999.999</formula>
    </cfRule>
    <cfRule type="cellIs" dxfId="54" priority="57" stopIfTrue="1" operator="greaterThanOrEqual">
      <formula>3000</formula>
    </cfRule>
  </conditionalFormatting>
  <conditionalFormatting sqref="H74:J74">
    <cfRule type="cellIs" dxfId="53" priority="52" stopIfTrue="1" operator="between">
      <formula>500</formula>
      <formula>999.999</formula>
    </cfRule>
    <cfRule type="cellIs" dxfId="52" priority="53" stopIfTrue="1" operator="between">
      <formula>1000</formula>
      <formula>2999.999</formula>
    </cfRule>
    <cfRule type="cellIs" dxfId="51" priority="54" stopIfTrue="1" operator="greaterThanOrEqual">
      <formula>3000</formula>
    </cfRule>
  </conditionalFormatting>
  <conditionalFormatting sqref="H75:J75">
    <cfRule type="cellIs" dxfId="50" priority="49" stopIfTrue="1" operator="between">
      <formula>500</formula>
      <formula>999.999</formula>
    </cfRule>
    <cfRule type="cellIs" dxfId="49" priority="50" stopIfTrue="1" operator="between">
      <formula>1000</formula>
      <formula>2999.999</formula>
    </cfRule>
    <cfRule type="cellIs" dxfId="48" priority="51" stopIfTrue="1" operator="greaterThanOrEqual">
      <formula>3000</formula>
    </cfRule>
  </conditionalFormatting>
  <conditionalFormatting sqref="H76:J76">
    <cfRule type="cellIs" dxfId="47" priority="46" stopIfTrue="1" operator="between">
      <formula>500</formula>
      <formula>999.999</formula>
    </cfRule>
    <cfRule type="cellIs" dxfId="46" priority="47" stopIfTrue="1" operator="between">
      <formula>1000</formula>
      <formula>2999.999</formula>
    </cfRule>
    <cfRule type="cellIs" dxfId="45" priority="48" stopIfTrue="1" operator="greaterThanOrEqual">
      <formula>3000</formula>
    </cfRule>
  </conditionalFormatting>
  <conditionalFormatting sqref="H77:J77">
    <cfRule type="cellIs" dxfId="44" priority="43" stopIfTrue="1" operator="between">
      <formula>500</formula>
      <formula>999.999</formula>
    </cfRule>
    <cfRule type="cellIs" dxfId="43" priority="44" stopIfTrue="1" operator="between">
      <formula>1000</formula>
      <formula>2999.999</formula>
    </cfRule>
    <cfRule type="cellIs" dxfId="42" priority="45" stopIfTrue="1" operator="greaterThanOrEqual">
      <formula>3000</formula>
    </cfRule>
  </conditionalFormatting>
  <conditionalFormatting sqref="H78:J78">
    <cfRule type="cellIs" dxfId="41" priority="40" stopIfTrue="1" operator="between">
      <formula>500</formula>
      <formula>999.999</formula>
    </cfRule>
    <cfRule type="cellIs" dxfId="40" priority="41" stopIfTrue="1" operator="between">
      <formula>1000</formula>
      <formula>2999.999</formula>
    </cfRule>
    <cfRule type="cellIs" dxfId="39" priority="42" stopIfTrue="1" operator="greaterThanOrEqual">
      <formula>3000</formula>
    </cfRule>
  </conditionalFormatting>
  <conditionalFormatting sqref="H80:J81">
    <cfRule type="cellIs" dxfId="38" priority="37" stopIfTrue="1" operator="between">
      <formula>500</formula>
      <formula>999.999</formula>
    </cfRule>
    <cfRule type="cellIs" dxfId="37" priority="38" stopIfTrue="1" operator="between">
      <formula>1000</formula>
      <formula>2999.999</formula>
    </cfRule>
    <cfRule type="cellIs" dxfId="36" priority="39" stopIfTrue="1" operator="greaterThanOrEqual">
      <formula>3000</formula>
    </cfRule>
  </conditionalFormatting>
  <conditionalFormatting sqref="H79:J79">
    <cfRule type="cellIs" dxfId="35" priority="34" stopIfTrue="1" operator="between">
      <formula>500</formula>
      <formula>999.999</formula>
    </cfRule>
    <cfRule type="cellIs" dxfId="34" priority="35" stopIfTrue="1" operator="between">
      <formula>1000</formula>
      <formula>2999.999</formula>
    </cfRule>
    <cfRule type="cellIs" dxfId="33" priority="36" stopIfTrue="1" operator="greaterThanOrEqual">
      <formula>3000</formula>
    </cfRule>
  </conditionalFormatting>
  <conditionalFormatting sqref="H69:J69">
    <cfRule type="cellIs" dxfId="32" priority="31" stopIfTrue="1" operator="between">
      <formula>500</formula>
      <formula>999.999</formula>
    </cfRule>
    <cfRule type="cellIs" dxfId="31" priority="32" stopIfTrue="1" operator="between">
      <formula>1000</formula>
      <formula>2999.999</formula>
    </cfRule>
    <cfRule type="cellIs" dxfId="30" priority="33" stopIfTrue="1" operator="greaterThanOrEqual">
      <formula>3000</formula>
    </cfRule>
  </conditionalFormatting>
  <conditionalFormatting sqref="H82:J84">
    <cfRule type="cellIs" dxfId="29" priority="28" stopIfTrue="1" operator="between">
      <formula>500</formula>
      <formula>999.999</formula>
    </cfRule>
    <cfRule type="cellIs" dxfId="28" priority="29" stopIfTrue="1" operator="between">
      <formula>1000</formula>
      <formula>2999.999</formula>
    </cfRule>
    <cfRule type="cellIs" dxfId="27" priority="30" stopIfTrue="1" operator="greaterThanOrEqual">
      <formula>3000</formula>
    </cfRule>
  </conditionalFormatting>
  <conditionalFormatting sqref="H85:J86">
    <cfRule type="cellIs" dxfId="26" priority="25" stopIfTrue="1" operator="between">
      <formula>500</formula>
      <formula>999.999</formula>
    </cfRule>
    <cfRule type="cellIs" dxfId="25" priority="26" stopIfTrue="1" operator="between">
      <formula>1000</formula>
      <formula>2999.999</formula>
    </cfRule>
    <cfRule type="cellIs" dxfId="24" priority="27" stopIfTrue="1" operator="greaterThanOrEqual">
      <formula>3000</formula>
    </cfRule>
  </conditionalFormatting>
  <conditionalFormatting sqref="H87:J91">
    <cfRule type="cellIs" dxfId="23" priority="22" stopIfTrue="1" operator="between">
      <formula>500</formula>
      <formula>999.999</formula>
    </cfRule>
    <cfRule type="cellIs" dxfId="22" priority="23" stopIfTrue="1" operator="between">
      <formula>1000</formula>
      <formula>2999.999</formula>
    </cfRule>
    <cfRule type="cellIs" dxfId="21" priority="24" stopIfTrue="1" operator="greaterThanOrEqual">
      <formula>3000</formula>
    </cfRule>
  </conditionalFormatting>
  <conditionalFormatting sqref="H92:J92">
    <cfRule type="cellIs" dxfId="20" priority="19" stopIfTrue="1" operator="between">
      <formula>500</formula>
      <formula>999.999</formula>
    </cfRule>
    <cfRule type="cellIs" dxfId="19" priority="20" stopIfTrue="1" operator="between">
      <formula>1000</formula>
      <formula>2999.999</formula>
    </cfRule>
    <cfRule type="cellIs" dxfId="18" priority="21" stopIfTrue="1" operator="greaterThanOrEqual">
      <formula>3000</formula>
    </cfRule>
  </conditionalFormatting>
  <conditionalFormatting sqref="H93:J93">
    <cfRule type="cellIs" dxfId="17" priority="16" stopIfTrue="1" operator="between">
      <formula>500</formula>
      <formula>999.999</formula>
    </cfRule>
    <cfRule type="cellIs" dxfId="16" priority="17" stopIfTrue="1" operator="between">
      <formula>1000</formula>
      <formula>2999.999</formula>
    </cfRule>
    <cfRule type="cellIs" dxfId="15" priority="18" stopIfTrue="1" operator="greaterThanOrEqual">
      <formula>3000</formula>
    </cfRule>
  </conditionalFormatting>
  <conditionalFormatting sqref="H94:J94">
    <cfRule type="cellIs" dxfId="14" priority="13" stopIfTrue="1" operator="between">
      <formula>500</formula>
      <formula>999.999</formula>
    </cfRule>
    <cfRule type="cellIs" dxfId="13" priority="14" stopIfTrue="1" operator="between">
      <formula>1000</formula>
      <formula>2999.999</formula>
    </cfRule>
    <cfRule type="cellIs" dxfId="12" priority="15" stopIfTrue="1" operator="greaterThanOrEqual">
      <formula>3000</formula>
    </cfRule>
  </conditionalFormatting>
  <conditionalFormatting sqref="H95:J100">
    <cfRule type="cellIs" dxfId="11" priority="10" stopIfTrue="1" operator="between">
      <formula>500</formula>
      <formula>999.999</formula>
    </cfRule>
    <cfRule type="cellIs" dxfId="10" priority="11" stopIfTrue="1" operator="between">
      <formula>1000</formula>
      <formula>2999.999</formula>
    </cfRule>
    <cfRule type="cellIs" dxfId="9" priority="12" stopIfTrue="1" operator="greaterThanOrEqual">
      <formula>3000</formula>
    </cfRule>
  </conditionalFormatting>
  <conditionalFormatting sqref="H23:J23">
    <cfRule type="cellIs" dxfId="8" priority="7" stopIfTrue="1" operator="between">
      <formula>500</formula>
      <formula>999.999</formula>
    </cfRule>
    <cfRule type="cellIs" dxfId="7" priority="8" stopIfTrue="1" operator="between">
      <formula>1000</formula>
      <formula>2999.999</formula>
    </cfRule>
    <cfRule type="cellIs" dxfId="6" priority="9" stopIfTrue="1" operator="greaterThanOrEqual">
      <formula>3000</formula>
    </cfRule>
  </conditionalFormatting>
  <conditionalFormatting sqref="H37:J37">
    <cfRule type="cellIs" dxfId="5" priority="4" stopIfTrue="1" operator="between">
      <formula>500</formula>
      <formula>999.999</formula>
    </cfRule>
    <cfRule type="cellIs" dxfId="4" priority="5" stopIfTrue="1" operator="between">
      <formula>1000</formula>
      <formula>2999.999</formula>
    </cfRule>
    <cfRule type="cellIs" dxfId="3" priority="6" stopIfTrue="1" operator="greaterThanOrEqual">
      <formula>3000</formula>
    </cfRule>
  </conditionalFormatting>
  <conditionalFormatting sqref="H40:J40">
    <cfRule type="cellIs" dxfId="2" priority="1" stopIfTrue="1" operator="between">
      <formula>500</formula>
      <formula>999.999</formula>
    </cfRule>
    <cfRule type="cellIs" dxfId="1" priority="2" stopIfTrue="1" operator="between">
      <formula>1000</formula>
      <formula>2999.999</formula>
    </cfRule>
    <cfRule type="cellIs" dxfId="0" priority="3" stopIfTrue="1" operator="greaterThanOrEqual">
      <formula>3000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J30"/>
  <sheetViews>
    <sheetView workbookViewId="0">
      <selection activeCell="K18" sqref="K18"/>
    </sheetView>
  </sheetViews>
  <sheetFormatPr baseColWidth="10" defaultRowHeight="15" x14ac:dyDescent="0.25"/>
  <cols>
    <col min="1" max="1" width="14.140625" customWidth="1"/>
    <col min="2" max="2" width="22.85546875" style="59" customWidth="1"/>
    <col min="3" max="3" width="16.7109375" style="55" customWidth="1"/>
    <col min="4" max="4" width="15.85546875" style="55" customWidth="1"/>
    <col min="5" max="5" width="20.28515625" style="55" customWidth="1"/>
    <col min="6" max="6" width="21" style="55" customWidth="1"/>
    <col min="7" max="7" width="21.85546875" style="55" customWidth="1"/>
    <col min="8" max="8" width="14.140625" style="26" customWidth="1"/>
    <col min="9" max="9" width="11.42578125" style="26"/>
  </cols>
  <sheetData>
    <row r="1" spans="1:10" x14ac:dyDescent="0.25">
      <c r="B1" s="40"/>
      <c r="C1" s="38"/>
      <c r="D1" s="38"/>
      <c r="E1" s="38"/>
      <c r="F1" s="38"/>
      <c r="G1" s="38"/>
      <c r="H1"/>
      <c r="I1"/>
    </row>
    <row r="2" spans="1:10" ht="18.75" x14ac:dyDescent="0.25">
      <c r="A2" s="84" t="s">
        <v>284</v>
      </c>
      <c r="B2" s="84"/>
      <c r="C2" s="84"/>
      <c r="D2" s="84"/>
      <c r="E2" s="84"/>
      <c r="F2" s="84"/>
      <c r="G2" s="84"/>
      <c r="H2" s="84"/>
      <c r="I2" s="84"/>
    </row>
    <row r="3" spans="1:10" s="62" customFormat="1" x14ac:dyDescent="0.25">
      <c r="A3" s="61" t="s">
        <v>315</v>
      </c>
      <c r="B3" s="52" t="s">
        <v>303</v>
      </c>
      <c r="C3" s="52" t="s">
        <v>307</v>
      </c>
      <c r="D3" s="52" t="s">
        <v>304</v>
      </c>
      <c r="E3" s="52" t="s">
        <v>305</v>
      </c>
      <c r="F3" s="52" t="s">
        <v>207</v>
      </c>
      <c r="G3" s="52" t="s">
        <v>306</v>
      </c>
      <c r="H3" s="60" t="s">
        <v>308</v>
      </c>
      <c r="I3" s="61" t="s">
        <v>309</v>
      </c>
    </row>
    <row r="4" spans="1:10" x14ac:dyDescent="0.25">
      <c r="A4" s="28">
        <v>44750</v>
      </c>
      <c r="B4" s="63" t="s">
        <v>328</v>
      </c>
      <c r="C4" s="53">
        <v>201849</v>
      </c>
      <c r="D4" s="45" t="s">
        <v>329</v>
      </c>
      <c r="E4" s="45">
        <v>2765</v>
      </c>
      <c r="F4" s="46">
        <v>44208</v>
      </c>
      <c r="G4" s="47" t="s">
        <v>285</v>
      </c>
      <c r="H4" s="25">
        <v>2.7</v>
      </c>
      <c r="I4" s="50">
        <v>2.1</v>
      </c>
    </row>
    <row r="5" spans="1:10" x14ac:dyDescent="0.25">
      <c r="A5" s="28">
        <v>44750</v>
      </c>
      <c r="B5" s="58" t="s">
        <v>299</v>
      </c>
      <c r="C5" s="54">
        <v>201831</v>
      </c>
      <c r="D5" s="48" t="s">
        <v>330</v>
      </c>
      <c r="E5" s="48">
        <v>10032</v>
      </c>
      <c r="F5" s="49"/>
      <c r="G5" s="50" t="s">
        <v>296</v>
      </c>
      <c r="H5" s="27"/>
    </row>
    <row r="6" spans="1:10" x14ac:dyDescent="0.25">
      <c r="A6" s="28">
        <v>44752</v>
      </c>
      <c r="B6" s="58" t="s">
        <v>299</v>
      </c>
      <c r="C6" s="54">
        <v>201859</v>
      </c>
      <c r="D6" s="48" t="s">
        <v>331</v>
      </c>
      <c r="E6" s="48">
        <v>10606</v>
      </c>
      <c r="F6" s="49"/>
      <c r="G6" s="50" t="s">
        <v>296</v>
      </c>
      <c r="H6" s="27"/>
    </row>
    <row r="7" spans="1:10" x14ac:dyDescent="0.25">
      <c r="A7" s="28">
        <v>44752</v>
      </c>
      <c r="B7" s="58" t="s">
        <v>299</v>
      </c>
      <c r="C7" s="54">
        <v>201859</v>
      </c>
      <c r="D7" s="48" t="s">
        <v>331</v>
      </c>
      <c r="E7" s="48">
        <v>10606</v>
      </c>
      <c r="F7" s="73"/>
      <c r="G7" s="50" t="s">
        <v>296</v>
      </c>
      <c r="H7" s="27"/>
    </row>
    <row r="8" spans="1:10" x14ac:dyDescent="0.25">
      <c r="A8" s="28">
        <v>44752</v>
      </c>
      <c r="B8" s="58" t="s">
        <v>332</v>
      </c>
      <c r="C8" s="54">
        <v>201902</v>
      </c>
      <c r="D8" s="48" t="s">
        <v>333</v>
      </c>
      <c r="E8" s="48">
        <v>5309</v>
      </c>
      <c r="F8" s="49">
        <v>43870</v>
      </c>
      <c r="G8" s="50" t="s">
        <v>208</v>
      </c>
      <c r="H8" s="50">
        <v>1</v>
      </c>
      <c r="I8" s="50">
        <v>1.6</v>
      </c>
    </row>
    <row r="9" spans="1:10" x14ac:dyDescent="0.25">
      <c r="A9" s="28">
        <v>44752</v>
      </c>
      <c r="B9" s="58" t="s">
        <v>328</v>
      </c>
      <c r="C9" s="54">
        <v>201902</v>
      </c>
      <c r="D9" s="48" t="s">
        <v>333</v>
      </c>
      <c r="E9" s="48">
        <v>14893</v>
      </c>
      <c r="F9" s="49">
        <v>44208</v>
      </c>
      <c r="G9" s="50" t="s">
        <v>285</v>
      </c>
      <c r="H9" s="50">
        <v>2.4</v>
      </c>
      <c r="I9" s="50">
        <v>1.5</v>
      </c>
    </row>
    <row r="10" spans="1:10" x14ac:dyDescent="0.25">
      <c r="A10" s="28">
        <v>44752</v>
      </c>
      <c r="B10" s="58" t="s">
        <v>334</v>
      </c>
      <c r="C10" s="54">
        <v>201902</v>
      </c>
      <c r="D10" s="48" t="s">
        <v>333</v>
      </c>
      <c r="E10" s="48">
        <v>6051</v>
      </c>
      <c r="F10" s="49">
        <v>43896</v>
      </c>
      <c r="G10" s="50" t="s">
        <v>275</v>
      </c>
      <c r="H10" s="50">
        <v>1</v>
      </c>
      <c r="I10" s="50">
        <v>7.1</v>
      </c>
    </row>
    <row r="11" spans="1:10" x14ac:dyDescent="0.25">
      <c r="A11" s="28">
        <v>44752</v>
      </c>
      <c r="B11" s="58" t="s">
        <v>299</v>
      </c>
      <c r="C11" s="54">
        <v>201902</v>
      </c>
      <c r="D11" s="48" t="s">
        <v>331</v>
      </c>
      <c r="E11" s="48">
        <v>10606</v>
      </c>
      <c r="F11" s="73"/>
      <c r="G11" s="51" t="s">
        <v>296</v>
      </c>
      <c r="H11" s="27"/>
    </row>
    <row r="12" spans="1:10" x14ac:dyDescent="0.25">
      <c r="A12" s="28">
        <v>44759</v>
      </c>
      <c r="B12" s="58" t="s">
        <v>328</v>
      </c>
      <c r="C12" s="54">
        <v>201952</v>
      </c>
      <c r="D12" s="48" t="s">
        <v>335</v>
      </c>
      <c r="E12" s="48">
        <v>10176</v>
      </c>
      <c r="F12" s="49">
        <v>44208</v>
      </c>
      <c r="G12" s="50" t="s">
        <v>285</v>
      </c>
      <c r="H12" s="50">
        <v>3.5</v>
      </c>
      <c r="I12" s="50">
        <v>2.6</v>
      </c>
      <c r="J12" s="78" t="s">
        <v>336</v>
      </c>
    </row>
    <row r="13" spans="1:10" x14ac:dyDescent="0.25">
      <c r="A13" s="28">
        <v>44759</v>
      </c>
      <c r="B13" s="58" t="s">
        <v>328</v>
      </c>
      <c r="C13" s="54">
        <v>201952</v>
      </c>
      <c r="D13" s="48" t="s">
        <v>335</v>
      </c>
      <c r="E13" s="48">
        <v>10176</v>
      </c>
      <c r="F13" s="49">
        <v>44208</v>
      </c>
      <c r="G13" s="51" t="s">
        <v>285</v>
      </c>
      <c r="H13" s="50">
        <v>2.2999999999999998</v>
      </c>
      <c r="I13" s="50">
        <v>1.3</v>
      </c>
      <c r="J13" s="78" t="s">
        <v>337</v>
      </c>
    </row>
    <row r="14" spans="1:10" x14ac:dyDescent="0.25">
      <c r="A14" s="28">
        <v>44762</v>
      </c>
      <c r="B14" s="58" t="s">
        <v>332</v>
      </c>
      <c r="C14" s="54">
        <v>202173</v>
      </c>
      <c r="D14" s="48" t="s">
        <v>338</v>
      </c>
      <c r="E14" s="48">
        <v>7186</v>
      </c>
      <c r="F14" s="49">
        <v>43870</v>
      </c>
      <c r="G14" s="50" t="s">
        <v>208</v>
      </c>
      <c r="H14" s="27"/>
    </row>
    <row r="15" spans="1:10" x14ac:dyDescent="0.25">
      <c r="A15" s="28">
        <v>44762</v>
      </c>
      <c r="B15" s="59" t="s">
        <v>328</v>
      </c>
      <c r="C15" s="55">
        <v>202173</v>
      </c>
      <c r="D15" s="55" t="s">
        <v>338</v>
      </c>
      <c r="E15" s="55">
        <v>14568</v>
      </c>
      <c r="F15" s="57">
        <v>44208</v>
      </c>
      <c r="G15" s="55" t="s">
        <v>285</v>
      </c>
    </row>
    <row r="16" spans="1:10" x14ac:dyDescent="0.25">
      <c r="A16" s="28">
        <v>44762</v>
      </c>
      <c r="B16" s="59" t="s">
        <v>334</v>
      </c>
      <c r="C16" s="55">
        <v>202173</v>
      </c>
      <c r="D16" s="55" t="s">
        <v>338</v>
      </c>
      <c r="E16" s="55">
        <v>2269</v>
      </c>
      <c r="F16" s="56">
        <v>43896</v>
      </c>
      <c r="G16" s="55" t="s">
        <v>275</v>
      </c>
    </row>
    <row r="17" spans="1:7" x14ac:dyDescent="0.25">
      <c r="A17" s="28">
        <v>44775</v>
      </c>
      <c r="B17" s="59" t="s">
        <v>332</v>
      </c>
      <c r="C17" s="55">
        <v>202554</v>
      </c>
      <c r="D17" s="55" t="s">
        <v>340</v>
      </c>
      <c r="E17" s="55">
        <v>6053</v>
      </c>
      <c r="F17" s="56">
        <v>43870</v>
      </c>
      <c r="G17" s="55" t="s">
        <v>208</v>
      </c>
    </row>
    <row r="18" spans="1:7" x14ac:dyDescent="0.25">
      <c r="A18" s="28">
        <v>44775</v>
      </c>
      <c r="B18" s="59" t="s">
        <v>341</v>
      </c>
      <c r="C18" s="55">
        <v>202554</v>
      </c>
      <c r="D18" s="55" t="s">
        <v>340</v>
      </c>
      <c r="E18" s="55">
        <v>2539</v>
      </c>
      <c r="F18" s="56">
        <v>44167</v>
      </c>
      <c r="G18" s="55" t="s">
        <v>239</v>
      </c>
    </row>
    <row r="19" spans="1:7" x14ac:dyDescent="0.25">
      <c r="A19" s="28">
        <v>44775</v>
      </c>
      <c r="B19" s="59" t="s">
        <v>328</v>
      </c>
      <c r="C19" s="55">
        <v>202554</v>
      </c>
      <c r="D19" s="55" t="s">
        <v>340</v>
      </c>
      <c r="E19" s="55">
        <v>12570</v>
      </c>
      <c r="F19" s="57">
        <v>44208</v>
      </c>
      <c r="G19" s="55" t="s">
        <v>285</v>
      </c>
    </row>
    <row r="20" spans="1:7" x14ac:dyDescent="0.25">
      <c r="A20" s="28">
        <v>44775</v>
      </c>
      <c r="B20" s="59" t="s">
        <v>334</v>
      </c>
      <c r="C20" s="55">
        <v>202554</v>
      </c>
      <c r="D20" s="55" t="s">
        <v>340</v>
      </c>
      <c r="E20" s="55">
        <v>1403</v>
      </c>
      <c r="F20" s="56">
        <v>43896</v>
      </c>
      <c r="G20" s="55" t="s">
        <v>275</v>
      </c>
    </row>
    <row r="21" spans="1:7" x14ac:dyDescent="0.25">
      <c r="F21" s="56"/>
    </row>
    <row r="22" spans="1:7" x14ac:dyDescent="0.25">
      <c r="F22" s="56"/>
    </row>
    <row r="24" spans="1:7" x14ac:dyDescent="0.25">
      <c r="F24" s="56"/>
    </row>
    <row r="25" spans="1:7" x14ac:dyDescent="0.25">
      <c r="F25" s="56"/>
    </row>
    <row r="26" spans="1:7" x14ac:dyDescent="0.25">
      <c r="F26" s="56"/>
    </row>
    <row r="28" spans="1:7" x14ac:dyDescent="0.25">
      <c r="F28" s="57"/>
    </row>
    <row r="29" spans="1:7" x14ac:dyDescent="0.25">
      <c r="F29" s="57"/>
    </row>
    <row r="30" spans="1:7" x14ac:dyDescent="0.25">
      <c r="F30" s="57"/>
    </row>
  </sheetData>
  <mergeCells count="1">
    <mergeCell ref="A2:I2"/>
  </mergeCells>
  <hyperlinks>
    <hyperlink ref="E3" location="'DOTTOR Germaine'!A1" display="DOTTOR Germaine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0"/>
  <sheetViews>
    <sheetView topLeftCell="A106" workbookViewId="0">
      <selection activeCell="B95" sqref="B95"/>
    </sheetView>
  </sheetViews>
  <sheetFormatPr baseColWidth="10" defaultRowHeight="15" x14ac:dyDescent="0.25"/>
  <cols>
    <col min="1" max="1" width="11.5703125" customWidth="1"/>
  </cols>
  <sheetData>
    <row r="1" spans="1:2" ht="18.75" x14ac:dyDescent="0.25">
      <c r="A1" s="31" t="s">
        <v>313</v>
      </c>
      <c r="B1" s="35" t="s">
        <v>299</v>
      </c>
    </row>
    <row r="2" spans="1:2" ht="18.75" x14ac:dyDescent="0.25">
      <c r="A2" s="32" t="s">
        <v>306</v>
      </c>
      <c r="B2" s="41" t="s">
        <v>296</v>
      </c>
    </row>
    <row r="3" spans="1:2" ht="73.5" x14ac:dyDescent="0.25">
      <c r="A3" s="33" t="s">
        <v>314</v>
      </c>
      <c r="B3" s="37" t="s">
        <v>297</v>
      </c>
    </row>
    <row r="4" spans="1:2" x14ac:dyDescent="0.25">
      <c r="A4" s="29" t="s">
        <v>2</v>
      </c>
      <c r="B4" s="74">
        <v>0</v>
      </c>
    </row>
    <row r="5" spans="1:2" x14ac:dyDescent="0.25">
      <c r="A5" s="11" t="s">
        <v>5</v>
      </c>
      <c r="B5" s="74">
        <v>0</v>
      </c>
    </row>
    <row r="6" spans="1:2" x14ac:dyDescent="0.25">
      <c r="A6" s="1" t="s">
        <v>8</v>
      </c>
      <c r="B6" s="74">
        <v>0</v>
      </c>
    </row>
    <row r="7" spans="1:2" x14ac:dyDescent="0.25">
      <c r="A7" s="1" t="s">
        <v>12</v>
      </c>
      <c r="B7" s="74">
        <v>0</v>
      </c>
    </row>
    <row r="8" spans="1:2" x14ac:dyDescent="0.25">
      <c r="A8" s="1" t="s">
        <v>15</v>
      </c>
      <c r="B8" s="74">
        <v>0</v>
      </c>
    </row>
    <row r="9" spans="1:2" ht="22.5" x14ac:dyDescent="0.25">
      <c r="A9" s="11" t="s">
        <v>17</v>
      </c>
      <c r="B9" s="74">
        <v>0</v>
      </c>
    </row>
    <row r="10" spans="1:2" x14ac:dyDescent="0.25">
      <c r="A10" s="1" t="s">
        <v>19</v>
      </c>
      <c r="B10" s="74">
        <v>0</v>
      </c>
    </row>
    <row r="11" spans="1:2" x14ac:dyDescent="0.25">
      <c r="A11" s="1" t="s">
        <v>20</v>
      </c>
      <c r="B11" s="74">
        <v>0</v>
      </c>
    </row>
    <row r="12" spans="1:2" ht="22.5" x14ac:dyDescent="0.25">
      <c r="A12" s="11" t="s">
        <v>21</v>
      </c>
      <c r="B12" s="74">
        <v>0</v>
      </c>
    </row>
    <row r="13" spans="1:2" x14ac:dyDescent="0.25">
      <c r="A13" s="1" t="s">
        <v>23</v>
      </c>
      <c r="B13" s="74">
        <v>6</v>
      </c>
    </row>
    <row r="14" spans="1:2" x14ac:dyDescent="0.25">
      <c r="A14" s="1" t="s">
        <v>25</v>
      </c>
      <c r="B14" s="74">
        <v>0</v>
      </c>
    </row>
    <row r="15" spans="1:2" x14ac:dyDescent="0.25">
      <c r="A15" s="1" t="s">
        <v>26</v>
      </c>
      <c r="B15" s="74">
        <v>0</v>
      </c>
    </row>
    <row r="16" spans="1:2" x14ac:dyDescent="0.25">
      <c r="A16" s="1" t="s">
        <v>27</v>
      </c>
      <c r="B16" s="74">
        <v>0</v>
      </c>
    </row>
    <row r="17" spans="1:2" ht="22.5" x14ac:dyDescent="0.25">
      <c r="A17" s="11" t="s">
        <v>30</v>
      </c>
      <c r="B17" s="74">
        <v>0</v>
      </c>
    </row>
    <row r="18" spans="1:2" x14ac:dyDescent="0.25">
      <c r="A18" s="9" t="s">
        <v>33</v>
      </c>
      <c r="B18" s="74">
        <v>0</v>
      </c>
    </row>
    <row r="19" spans="1:2" x14ac:dyDescent="0.25">
      <c r="A19" s="9" t="s">
        <v>35</v>
      </c>
      <c r="B19" s="74">
        <v>0</v>
      </c>
    </row>
    <row r="20" spans="1:2" x14ac:dyDescent="0.25">
      <c r="A20" s="1" t="s">
        <v>36</v>
      </c>
      <c r="B20" s="74">
        <v>0</v>
      </c>
    </row>
    <row r="21" spans="1:2" x14ac:dyDescent="0.25">
      <c r="A21" s="1" t="s">
        <v>38</v>
      </c>
      <c r="B21" s="74">
        <v>0</v>
      </c>
    </row>
    <row r="22" spans="1:2" x14ac:dyDescent="0.25">
      <c r="A22" s="9" t="s">
        <v>41</v>
      </c>
      <c r="B22" s="74">
        <v>0</v>
      </c>
    </row>
    <row r="23" spans="1:2" x14ac:dyDescent="0.25">
      <c r="A23" s="9" t="s">
        <v>43</v>
      </c>
      <c r="B23" s="74">
        <v>0</v>
      </c>
    </row>
    <row r="24" spans="1:2" x14ac:dyDescent="0.25">
      <c r="A24" s="1" t="s">
        <v>44</v>
      </c>
      <c r="B24" s="74">
        <v>0</v>
      </c>
    </row>
    <row r="25" spans="1:2" x14ac:dyDescent="0.25">
      <c r="A25" s="1" t="s">
        <v>45</v>
      </c>
      <c r="B25" s="74">
        <v>0</v>
      </c>
    </row>
    <row r="26" spans="1:2" x14ac:dyDescent="0.25">
      <c r="A26" s="1" t="s">
        <v>47</v>
      </c>
      <c r="B26" s="74">
        <v>0</v>
      </c>
    </row>
    <row r="27" spans="1:2" x14ac:dyDescent="0.25">
      <c r="A27" s="1" t="s">
        <v>49</v>
      </c>
      <c r="B27" s="74">
        <v>0</v>
      </c>
    </row>
    <row r="28" spans="1:2" ht="22.5" x14ac:dyDescent="0.25">
      <c r="A28" s="11" t="s">
        <v>50</v>
      </c>
      <c r="B28" s="74">
        <v>0</v>
      </c>
    </row>
    <row r="29" spans="1:2" x14ac:dyDescent="0.25">
      <c r="A29" s="1" t="s">
        <v>52</v>
      </c>
      <c r="B29" s="74">
        <v>0</v>
      </c>
    </row>
    <row r="30" spans="1:2" x14ac:dyDescent="0.25">
      <c r="A30" s="9" t="s">
        <v>54</v>
      </c>
      <c r="B30" s="74">
        <v>0</v>
      </c>
    </row>
    <row r="31" spans="1:2" x14ac:dyDescent="0.25">
      <c r="A31" s="9" t="s">
        <v>57</v>
      </c>
      <c r="B31" s="74">
        <v>44</v>
      </c>
    </row>
    <row r="32" spans="1:2" x14ac:dyDescent="0.25">
      <c r="A32" s="1" t="s">
        <v>58</v>
      </c>
      <c r="B32" s="74">
        <v>0</v>
      </c>
    </row>
    <row r="33" spans="1:2" x14ac:dyDescent="0.25">
      <c r="A33" s="1" t="s">
        <v>59</v>
      </c>
      <c r="B33" s="74">
        <v>0</v>
      </c>
    </row>
    <row r="34" spans="1:2" x14ac:dyDescent="0.25">
      <c r="A34" s="1" t="s">
        <v>61</v>
      </c>
      <c r="B34" s="74">
        <v>0</v>
      </c>
    </row>
    <row r="35" spans="1:2" x14ac:dyDescent="0.25">
      <c r="A35" s="1" t="s">
        <v>62</v>
      </c>
      <c r="B35" s="74">
        <v>0</v>
      </c>
    </row>
    <row r="36" spans="1:2" x14ac:dyDescent="0.25">
      <c r="A36" s="1" t="s">
        <v>65</v>
      </c>
      <c r="B36" s="74">
        <v>0</v>
      </c>
    </row>
    <row r="37" spans="1:2" x14ac:dyDescent="0.25">
      <c r="A37" s="1" t="s">
        <v>66</v>
      </c>
      <c r="B37" s="74">
        <v>0</v>
      </c>
    </row>
    <row r="38" spans="1:2" ht="22.5" x14ac:dyDescent="0.25">
      <c r="A38" s="11" t="s">
        <v>67</v>
      </c>
      <c r="B38" s="74">
        <v>0</v>
      </c>
    </row>
    <row r="39" spans="1:2" x14ac:dyDescent="0.25">
      <c r="A39" s="1" t="s">
        <v>68</v>
      </c>
      <c r="B39" s="74">
        <v>0</v>
      </c>
    </row>
    <row r="40" spans="1:2" ht="22.5" x14ac:dyDescent="0.25">
      <c r="A40" s="11" t="s">
        <v>69</v>
      </c>
      <c r="B40" s="74">
        <v>0</v>
      </c>
    </row>
    <row r="41" spans="1:2" x14ac:dyDescent="0.25">
      <c r="A41" s="1" t="s">
        <v>71</v>
      </c>
      <c r="B41" s="74">
        <v>0</v>
      </c>
    </row>
    <row r="42" spans="1:2" x14ac:dyDescent="0.25">
      <c r="A42" s="1" t="s">
        <v>72</v>
      </c>
      <c r="B42" s="74">
        <v>0</v>
      </c>
    </row>
    <row r="43" spans="1:2" x14ac:dyDescent="0.25">
      <c r="A43" s="1" t="s">
        <v>73</v>
      </c>
      <c r="B43" s="75">
        <v>984</v>
      </c>
    </row>
    <row r="44" spans="1:2" x14ac:dyDescent="0.25">
      <c r="A44" s="1" t="s">
        <v>74</v>
      </c>
      <c r="B44" s="74">
        <v>0</v>
      </c>
    </row>
    <row r="45" spans="1:2" x14ac:dyDescent="0.25">
      <c r="A45" s="1" t="s">
        <v>75</v>
      </c>
      <c r="B45" s="74">
        <v>0</v>
      </c>
    </row>
    <row r="46" spans="1:2" x14ac:dyDescent="0.25">
      <c r="A46" s="1" t="s">
        <v>76</v>
      </c>
      <c r="B46" s="74">
        <v>0</v>
      </c>
    </row>
    <row r="47" spans="1:2" x14ac:dyDescent="0.25">
      <c r="A47" s="1" t="s">
        <v>78</v>
      </c>
      <c r="B47" s="74">
        <v>0</v>
      </c>
    </row>
    <row r="48" spans="1:2" x14ac:dyDescent="0.25">
      <c r="A48" s="9" t="s">
        <v>80</v>
      </c>
      <c r="B48" s="74">
        <v>0</v>
      </c>
    </row>
    <row r="49" spans="1:2" x14ac:dyDescent="0.25">
      <c r="A49" s="9" t="s">
        <v>81</v>
      </c>
      <c r="B49" s="74">
        <v>0</v>
      </c>
    </row>
    <row r="50" spans="1:2" x14ac:dyDescent="0.25">
      <c r="A50" s="1" t="s">
        <v>83</v>
      </c>
      <c r="B50" s="74">
        <v>0</v>
      </c>
    </row>
    <row r="51" spans="1:2" x14ac:dyDescent="0.25">
      <c r="A51" s="1" t="s">
        <v>84</v>
      </c>
      <c r="B51" s="74">
        <v>0</v>
      </c>
    </row>
    <row r="52" spans="1:2" x14ac:dyDescent="0.25">
      <c r="A52" s="1" t="s">
        <v>85</v>
      </c>
      <c r="B52" s="74">
        <v>0</v>
      </c>
    </row>
    <row r="53" spans="1:2" x14ac:dyDescent="0.25">
      <c r="A53" s="1" t="s">
        <v>86</v>
      </c>
      <c r="B53" s="74">
        <v>0</v>
      </c>
    </row>
    <row r="54" spans="1:2" x14ac:dyDescent="0.25">
      <c r="A54" s="1" t="s">
        <v>88</v>
      </c>
      <c r="B54" s="74">
        <v>0</v>
      </c>
    </row>
    <row r="55" spans="1:2" x14ac:dyDescent="0.25">
      <c r="A55" s="1" t="s">
        <v>90</v>
      </c>
      <c r="B55" s="74">
        <v>0</v>
      </c>
    </row>
    <row r="56" spans="1:2" ht="22.5" x14ac:dyDescent="0.25">
      <c r="A56" s="11" t="s">
        <v>92</v>
      </c>
      <c r="B56" s="74">
        <v>0</v>
      </c>
    </row>
    <row r="57" spans="1:2" x14ac:dyDescent="0.25">
      <c r="A57" s="1" t="s">
        <v>93</v>
      </c>
      <c r="B57" s="74">
        <v>0</v>
      </c>
    </row>
    <row r="58" spans="1:2" x14ac:dyDescent="0.25">
      <c r="A58" s="1" t="s">
        <v>94</v>
      </c>
      <c r="B58" s="74">
        <v>0</v>
      </c>
    </row>
    <row r="59" spans="1:2" x14ac:dyDescent="0.25">
      <c r="A59" s="1" t="s">
        <v>95</v>
      </c>
      <c r="B59" s="74">
        <v>0</v>
      </c>
    </row>
    <row r="60" spans="1:2" x14ac:dyDescent="0.25">
      <c r="A60" s="1" t="s">
        <v>96</v>
      </c>
      <c r="B60" s="74">
        <v>0</v>
      </c>
    </row>
    <row r="61" spans="1:2" x14ac:dyDescent="0.25">
      <c r="A61" s="1" t="s">
        <v>97</v>
      </c>
      <c r="B61" s="74">
        <v>0</v>
      </c>
    </row>
    <row r="62" spans="1:2" x14ac:dyDescent="0.25">
      <c r="A62" s="1" t="s">
        <v>98</v>
      </c>
      <c r="B62" s="74">
        <v>0</v>
      </c>
    </row>
    <row r="63" spans="1:2" ht="22.5" x14ac:dyDescent="0.25">
      <c r="A63" s="11" t="s">
        <v>99</v>
      </c>
      <c r="B63" s="74">
        <v>0</v>
      </c>
    </row>
    <row r="64" spans="1:2" x14ac:dyDescent="0.25">
      <c r="A64" s="1" t="s">
        <v>100</v>
      </c>
      <c r="B64" s="74">
        <v>0</v>
      </c>
    </row>
    <row r="65" spans="1:2" x14ac:dyDescent="0.25">
      <c r="A65" s="1" t="s">
        <v>101</v>
      </c>
      <c r="B65" s="74">
        <v>0</v>
      </c>
    </row>
    <row r="66" spans="1:2" x14ac:dyDescent="0.25">
      <c r="A66" s="1" t="s">
        <v>103</v>
      </c>
      <c r="B66" s="74">
        <v>0</v>
      </c>
    </row>
    <row r="67" spans="1:2" x14ac:dyDescent="0.25">
      <c r="A67" s="1" t="s">
        <v>104</v>
      </c>
      <c r="B67" s="74">
        <v>0</v>
      </c>
    </row>
    <row r="68" spans="1:2" ht="22.5" x14ac:dyDescent="0.25">
      <c r="A68" s="11" t="s">
        <v>105</v>
      </c>
      <c r="B68" s="74">
        <v>0</v>
      </c>
    </row>
    <row r="69" spans="1:2" x14ac:dyDescent="0.25">
      <c r="A69" s="1" t="s">
        <v>106</v>
      </c>
      <c r="B69" s="74">
        <v>0</v>
      </c>
    </row>
    <row r="70" spans="1:2" x14ac:dyDescent="0.25">
      <c r="A70" s="1" t="s">
        <v>107</v>
      </c>
      <c r="B70" s="74">
        <v>0</v>
      </c>
    </row>
    <row r="71" spans="1:2" x14ac:dyDescent="0.25">
      <c r="A71" s="1" t="s">
        <v>108</v>
      </c>
      <c r="B71" s="74">
        <v>0</v>
      </c>
    </row>
    <row r="72" spans="1:2" x14ac:dyDescent="0.25">
      <c r="A72" s="1" t="s">
        <v>109</v>
      </c>
      <c r="B72" s="74">
        <v>0</v>
      </c>
    </row>
    <row r="73" spans="1:2" x14ac:dyDescent="0.25">
      <c r="A73" s="1" t="s">
        <v>111</v>
      </c>
      <c r="B73" s="74">
        <v>0</v>
      </c>
    </row>
    <row r="74" spans="1:2" x14ac:dyDescent="0.25">
      <c r="A74" s="1" t="s">
        <v>113</v>
      </c>
      <c r="B74" s="74">
        <v>0</v>
      </c>
    </row>
    <row r="75" spans="1:2" x14ac:dyDescent="0.25">
      <c r="A75" s="1" t="s">
        <v>114</v>
      </c>
      <c r="B75" s="74">
        <v>0</v>
      </c>
    </row>
    <row r="76" spans="1:2" x14ac:dyDescent="0.25">
      <c r="A76" s="1" t="s">
        <v>116</v>
      </c>
      <c r="B76" s="74">
        <v>0</v>
      </c>
    </row>
    <row r="77" spans="1:2" x14ac:dyDescent="0.25">
      <c r="A77" s="1" t="s">
        <v>117</v>
      </c>
      <c r="B77" s="74">
        <v>0</v>
      </c>
    </row>
    <row r="78" spans="1:2" ht="22.5" x14ac:dyDescent="0.25">
      <c r="A78" s="11" t="s">
        <v>118</v>
      </c>
      <c r="B78" s="74">
        <v>0</v>
      </c>
    </row>
    <row r="79" spans="1:2" x14ac:dyDescent="0.25">
      <c r="A79" s="1" t="s">
        <v>119</v>
      </c>
      <c r="B79" s="74">
        <v>0</v>
      </c>
    </row>
    <row r="80" spans="1:2" x14ac:dyDescent="0.25">
      <c r="A80" s="1" t="s">
        <v>121</v>
      </c>
      <c r="B80" s="74">
        <v>0</v>
      </c>
    </row>
    <row r="81" spans="1:2" x14ac:dyDescent="0.25">
      <c r="A81" s="1" t="s">
        <v>122</v>
      </c>
      <c r="B81" s="74">
        <v>0</v>
      </c>
    </row>
    <row r="82" spans="1:2" x14ac:dyDescent="0.25">
      <c r="A82" s="1" t="s">
        <v>123</v>
      </c>
      <c r="B82" s="74">
        <v>0</v>
      </c>
    </row>
    <row r="83" spans="1:2" x14ac:dyDescent="0.25">
      <c r="A83" s="1" t="s">
        <v>124</v>
      </c>
      <c r="B83" s="74">
        <v>0</v>
      </c>
    </row>
    <row r="84" spans="1:2" x14ac:dyDescent="0.25">
      <c r="A84" s="1" t="s">
        <v>125</v>
      </c>
      <c r="B84" s="74">
        <v>0</v>
      </c>
    </row>
    <row r="85" spans="1:2" ht="22.5" x14ac:dyDescent="0.25">
      <c r="A85" s="1" t="s">
        <v>126</v>
      </c>
      <c r="B85" s="76">
        <v>10032</v>
      </c>
    </row>
    <row r="86" spans="1:2" ht="22.5" x14ac:dyDescent="0.25">
      <c r="A86" s="1" t="s">
        <v>128</v>
      </c>
      <c r="B86" s="74">
        <v>0</v>
      </c>
    </row>
    <row r="87" spans="1:2" ht="22.5" x14ac:dyDescent="0.25">
      <c r="A87" s="1" t="s">
        <v>130</v>
      </c>
      <c r="B87" s="74">
        <v>0</v>
      </c>
    </row>
    <row r="88" spans="1:2" ht="22.5" x14ac:dyDescent="0.25">
      <c r="A88" s="1" t="s">
        <v>132</v>
      </c>
      <c r="B88" s="74">
        <v>0</v>
      </c>
    </row>
    <row r="89" spans="1:2" ht="22.5" x14ac:dyDescent="0.25">
      <c r="A89" s="1" t="s">
        <v>134</v>
      </c>
      <c r="B89" s="74">
        <v>0</v>
      </c>
    </row>
    <row r="90" spans="1:2" ht="22.5" x14ac:dyDescent="0.25">
      <c r="A90" s="1" t="s">
        <v>135</v>
      </c>
      <c r="B90" s="74">
        <v>0</v>
      </c>
    </row>
    <row r="91" spans="1:2" ht="22.5" x14ac:dyDescent="0.25">
      <c r="A91" s="1" t="s">
        <v>136</v>
      </c>
      <c r="B91" s="74">
        <v>0</v>
      </c>
    </row>
    <row r="92" spans="1:2" ht="22.5" x14ac:dyDescent="0.25">
      <c r="A92" s="1" t="s">
        <v>137</v>
      </c>
      <c r="B92" s="74">
        <v>0</v>
      </c>
    </row>
    <row r="93" spans="1:2" ht="22.5" x14ac:dyDescent="0.25">
      <c r="A93" s="9" t="s">
        <v>138</v>
      </c>
      <c r="B93" s="74">
        <v>0</v>
      </c>
    </row>
    <row r="94" spans="1:2" ht="22.5" x14ac:dyDescent="0.25">
      <c r="A94" s="9" t="s">
        <v>139</v>
      </c>
      <c r="B94" s="74">
        <v>0</v>
      </c>
    </row>
    <row r="95" spans="1:2" ht="22.5" x14ac:dyDescent="0.25">
      <c r="A95" s="1" t="s">
        <v>140</v>
      </c>
      <c r="B95" s="76">
        <v>10606</v>
      </c>
    </row>
    <row r="96" spans="1:2" ht="22.5" x14ac:dyDescent="0.25">
      <c r="A96" s="1" t="s">
        <v>141</v>
      </c>
      <c r="B96" s="74">
        <v>0</v>
      </c>
    </row>
    <row r="97" spans="1:2" ht="22.5" x14ac:dyDescent="0.25">
      <c r="A97" s="1" t="s">
        <v>142</v>
      </c>
      <c r="B97" s="76">
        <v>7337</v>
      </c>
    </row>
    <row r="98" spans="1:2" ht="22.5" x14ac:dyDescent="0.25">
      <c r="A98" s="1" t="s">
        <v>144</v>
      </c>
      <c r="B98" s="74">
        <v>0</v>
      </c>
    </row>
    <row r="99" spans="1:2" ht="22.5" x14ac:dyDescent="0.25">
      <c r="A99" s="1" t="s">
        <v>145</v>
      </c>
      <c r="B99" s="74">
        <v>0</v>
      </c>
    </row>
    <row r="100" spans="1:2" ht="22.5" x14ac:dyDescent="0.25">
      <c r="A100" s="4" t="s">
        <v>147</v>
      </c>
      <c r="B100" s="7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Traitement</vt:lpstr>
      <vt:lpstr>SAG classe I</vt:lpstr>
      <vt:lpstr>RESULTATS</vt:lpstr>
      <vt:lpstr>Archive</vt:lpstr>
    </vt:vector>
  </TitlesOfParts>
  <Company>CHU de Bordeaux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RALAZAMAHALEO Mamy</dc:creator>
  <cp:lastModifiedBy>CARGOU Marine</cp:lastModifiedBy>
  <dcterms:created xsi:type="dcterms:W3CDTF">2021-04-08T09:57:43Z</dcterms:created>
  <dcterms:modified xsi:type="dcterms:W3CDTF">2022-10-21T15:36:04Z</dcterms:modified>
</cp:coreProperties>
</file>